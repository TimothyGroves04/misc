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  <xf numFmtId="0" fontId="7" fillId="4" borderId="1" pivotButton="0" quotePrefix="0" xfId="0"/>
    <xf numFmtId="164" fontId="0" fillId="0" borderId="0" pivotButton="0" quotePrefix="0" xfId="0"/>
    <xf numFmtId="164" fontId="0" fillId="4" borderId="0" pivotButton="0" quotePrefix="0" xfId="0"/>
    <xf numFmtId="3" fontId="0" fillId="0" borderId="0" pivotButton="0" quotePrefix="0" xfId="0"/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Notes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BREAKDOWN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>
        <f>'Income Statement'!C6</f>
        <v/>
      </c>
      <c r="D6" s="10">
        <f>'Income Statement'!D6</f>
        <v/>
      </c>
      <c r="E6" s="10">
        <f>'Income Statement'!E6</f>
        <v/>
      </c>
      <c r="F6" s="10">
        <f>'Income Statement'!F6</f>
        <v/>
      </c>
      <c r="G6" s="10">
        <f>'Income Statement'!G6</f>
        <v/>
      </c>
      <c r="H6" s="11">
        <f>'Income Statement'!H6</f>
        <v/>
      </c>
      <c r="I6" s="11">
        <f>'Income Statement'!I6</f>
        <v/>
      </c>
      <c r="J6" s="11">
        <f>'Income Statement'!J6</f>
        <v/>
      </c>
      <c r="K6" s="11">
        <f>'Income Statement'!K6</f>
        <v/>
      </c>
      <c r="L6" s="11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0" t="n">
        <v>180</v>
      </c>
      <c r="D7" s="10" t="n">
        <v>320</v>
      </c>
      <c r="E7" s="10" t="n">
        <v>540</v>
      </c>
      <c r="F7" s="10" t="n">
        <v>420</v>
      </c>
      <c r="G7" s="10" t="n">
        <v>350</v>
      </c>
      <c r="H7" s="11">
        <f>G7*1.03</f>
        <v/>
      </c>
      <c r="I7" s="11">
        <f>H7*1.03</f>
        <v/>
      </c>
      <c r="J7" s="11">
        <f>I7*1.03</f>
        <v/>
      </c>
      <c r="K7" s="11">
        <f>J7*1.03</f>
        <v/>
      </c>
      <c r="L7" s="11">
        <f>K7*1.03</f>
        <v/>
      </c>
    </row>
    <row r="8">
      <c r="A8" t="inlineStr">
        <is>
          <t>Other revenue</t>
        </is>
      </c>
      <c r="B8" t="inlineStr">
        <is>
          <t>A$m</t>
        </is>
      </c>
      <c r="C8" s="10">
        <f>'Income Statement'!C7</f>
        <v/>
      </c>
      <c r="D8" s="10">
        <f>'Income Statement'!D7</f>
        <v/>
      </c>
      <c r="E8" s="10">
        <f>'Income Statement'!E7</f>
        <v/>
      </c>
      <c r="F8" s="10">
        <f>'Income Statement'!F7</f>
        <v/>
      </c>
      <c r="G8" s="10">
        <f>'Income Statement'!G7</f>
        <v/>
      </c>
      <c r="H8" s="11">
        <f>'Income Statement'!H7</f>
        <v/>
      </c>
      <c r="I8" s="11">
        <f>'Income Statement'!I7</f>
        <v/>
      </c>
      <c r="J8" s="11">
        <f>'Income Statement'!J7</f>
        <v/>
      </c>
      <c r="K8" s="11">
        <f>'Income Statement'!K7</f>
        <v/>
      </c>
      <c r="L8" s="11">
        <f>'Income Statement'!L7</f>
        <v/>
      </c>
    </row>
    <row r="9">
      <c r="A9" s="12" t="inlineStr">
        <is>
          <t>Total Revenue</t>
        </is>
      </c>
      <c r="B9" s="12" t="inlineStr">
        <is>
          <t>A$m</t>
        </is>
      </c>
      <c r="C9" s="13">
        <f>'Income Statement'!C8</f>
        <v/>
      </c>
      <c r="D9" s="13">
        <f>'Income Statement'!D8</f>
        <v/>
      </c>
      <c r="E9" s="13">
        <f>'Income Statement'!E8</f>
        <v/>
      </c>
      <c r="F9" s="13">
        <f>'Income Statement'!F8</f>
        <v/>
      </c>
      <c r="G9" s="13">
        <f>'Income Statement'!G8</f>
        <v/>
      </c>
      <c r="H9" s="14">
        <f>'Income Statement'!H8</f>
        <v/>
      </c>
      <c r="I9" s="14">
        <f>'Income Statement'!I8</f>
        <v/>
      </c>
      <c r="J9" s="14">
        <f>'Income Statement'!J8</f>
        <v/>
      </c>
      <c r="K9" s="14">
        <f>'Income Statement'!K8</f>
        <v/>
      </c>
      <c r="L9" s="14">
        <f>'Income Statement'!L8</f>
        <v/>
      </c>
    </row>
    <row r="10">
      <c r="A10" t="inlineStr"/>
      <c r="H10" s="15" t="n"/>
      <c r="I10" s="15" t="n"/>
      <c r="J10" s="15" t="n"/>
      <c r="K10" s="15" t="n"/>
      <c r="L10" s="15" t="n"/>
    </row>
    <row r="11">
      <c r="A11" s="4" t="inlineStr">
        <is>
          <t>SEGMENT REPORTING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t="inlineStr">
        <is>
          <t>Melbourne (CityLink)</t>
        </is>
      </c>
      <c r="H12" s="15" t="n"/>
      <c r="I12" s="15" t="n"/>
      <c r="J12" s="15" t="n"/>
      <c r="K12" s="15" t="n"/>
      <c r="L12" s="15" t="n"/>
    </row>
    <row r="13">
      <c r="A13" t="inlineStr">
        <is>
          <t xml:space="preserve">  Revenue</t>
        </is>
      </c>
      <c r="B13" t="inlineStr">
        <is>
          <t>A$m</t>
        </is>
      </c>
      <c r="C13" s="10" t="n">
        <v>820</v>
      </c>
      <c r="D13" s="10" t="n">
        <v>920</v>
      </c>
      <c r="E13" s="10" t="n">
        <v>1080</v>
      </c>
      <c r="F13" s="10" t="n">
        <v>1150</v>
      </c>
      <c r="G13" s="10" t="n">
        <v>1220</v>
      </c>
      <c r="H13" s="15" t="n"/>
      <c r="I13" s="15" t="n"/>
      <c r="J13" s="15" t="n"/>
      <c r="K13" s="15" t="n"/>
      <c r="L13" s="15" t="n"/>
    </row>
    <row r="14">
      <c r="A14" t="inlineStr">
        <is>
          <t xml:space="preserve">  EBITDA</t>
        </is>
      </c>
      <c r="B14" t="inlineStr">
        <is>
          <t>A$m</t>
        </is>
      </c>
      <c r="C14" s="10" t="n">
        <v>620</v>
      </c>
      <c r="D14" s="10" t="n">
        <v>710</v>
      </c>
      <c r="E14" s="10" t="n">
        <v>840</v>
      </c>
      <c r="F14" s="10" t="n">
        <v>900</v>
      </c>
      <c r="G14" s="10" t="n">
        <v>960</v>
      </c>
      <c r="H14" s="15" t="n"/>
      <c r="I14" s="15" t="n"/>
      <c r="J14" s="15" t="n"/>
      <c r="K14" s="15" t="n"/>
      <c r="L14" s="15" t="n"/>
    </row>
    <row r="15">
      <c r="A15" t="inlineStr">
        <is>
          <t>Sydney</t>
        </is>
      </c>
      <c r="H15" s="15" t="n"/>
      <c r="I15" s="15" t="n"/>
      <c r="J15" s="15" t="n"/>
      <c r="K15" s="15" t="n"/>
      <c r="L15" s="15" t="n"/>
    </row>
    <row r="16">
      <c r="A16" t="inlineStr">
        <is>
          <t xml:space="preserve">  Revenue</t>
        </is>
      </c>
      <c r="B16" t="inlineStr">
        <is>
          <t>A$m</t>
        </is>
      </c>
      <c r="C16" s="10" t="n">
        <v>1050</v>
      </c>
      <c r="D16" s="10" t="n">
        <v>1220</v>
      </c>
      <c r="E16" s="10" t="n">
        <v>1520</v>
      </c>
      <c r="F16" s="10" t="n">
        <v>1680</v>
      </c>
      <c r="G16" s="10" t="n">
        <v>1800</v>
      </c>
      <c r="H16" s="15" t="n"/>
      <c r="I16" s="15" t="n"/>
      <c r="J16" s="15" t="n"/>
      <c r="K16" s="15" t="n"/>
      <c r="L16" s="15" t="n"/>
    </row>
    <row r="17">
      <c r="A17" t="inlineStr">
        <is>
          <t xml:space="preserve">  EBITDA</t>
        </is>
      </c>
      <c r="B17" t="inlineStr">
        <is>
          <t>A$m</t>
        </is>
      </c>
      <c r="C17" s="10" t="n">
        <v>750</v>
      </c>
      <c r="D17" s="10" t="n">
        <v>890</v>
      </c>
      <c r="E17" s="10" t="n">
        <v>1120</v>
      </c>
      <c r="F17" s="10" t="n">
        <v>1250</v>
      </c>
      <c r="G17" s="10" t="n">
        <v>1350</v>
      </c>
      <c r="H17" s="15" t="n"/>
      <c r="I17" s="15" t="n"/>
      <c r="J17" s="15" t="n"/>
      <c r="K17" s="15" t="n"/>
      <c r="L17" s="15" t="n"/>
    </row>
    <row r="18">
      <c r="A18" t="inlineStr">
        <is>
          <t>Brisbane</t>
        </is>
      </c>
      <c r="H18" s="15" t="n"/>
      <c r="I18" s="15" t="n"/>
      <c r="J18" s="15" t="n"/>
      <c r="K18" s="15" t="n"/>
      <c r="L18" s="15" t="n"/>
    </row>
    <row r="19">
      <c r="A19" t="inlineStr">
        <is>
          <t xml:space="preserve">  Revenue</t>
        </is>
      </c>
      <c r="B19" t="inlineStr">
        <is>
          <t>A$m</t>
        </is>
      </c>
      <c r="C19" s="10" t="n">
        <v>430</v>
      </c>
      <c r="D19" s="10" t="n">
        <v>480</v>
      </c>
      <c r="E19" s="10" t="n">
        <v>560</v>
      </c>
      <c r="F19" s="10" t="n">
        <v>600</v>
      </c>
      <c r="G19" s="10" t="n">
        <v>640</v>
      </c>
      <c r="H19" s="15" t="n"/>
      <c r="I19" s="15" t="n"/>
      <c r="J19" s="15" t="n"/>
      <c r="K19" s="15" t="n"/>
      <c r="L19" s="15" t="n"/>
    </row>
    <row r="20">
      <c r="A20" t="inlineStr">
        <is>
          <t xml:space="preserve">  EBITDA</t>
        </is>
      </c>
      <c r="B20" t="inlineStr">
        <is>
          <t>A$m</t>
        </is>
      </c>
      <c r="C20" s="10" t="n">
        <v>310</v>
      </c>
      <c r="D20" s="10" t="n">
        <v>350</v>
      </c>
      <c r="E20" s="10" t="n">
        <v>410</v>
      </c>
      <c r="F20" s="10" t="n">
        <v>440</v>
      </c>
      <c r="G20" s="10" t="n">
        <v>470</v>
      </c>
      <c r="H20" s="15" t="n"/>
      <c r="I20" s="15" t="n"/>
      <c r="J20" s="15" t="n"/>
      <c r="K20" s="15" t="n"/>
      <c r="L20" s="15" t="n"/>
    </row>
    <row r="21">
      <c r="A21" t="inlineStr">
        <is>
          <t>North America</t>
        </is>
      </c>
      <c r="H21" s="15" t="n"/>
      <c r="I21" s="15" t="n"/>
      <c r="J21" s="15" t="n"/>
      <c r="K21" s="15" t="n"/>
      <c r="L21" s="15" t="n"/>
    </row>
    <row r="22">
      <c r="A22" t="inlineStr">
        <is>
          <t xml:space="preserve">  Revenue</t>
        </is>
      </c>
      <c r="B22" t="inlineStr">
        <is>
          <t>A$m</t>
        </is>
      </c>
      <c r="C22" s="10" t="n">
        <v>478</v>
      </c>
      <c r="D22" s="10" t="n">
        <v>521</v>
      </c>
      <c r="E22" s="10" t="n">
        <v>627</v>
      </c>
      <c r="F22" s="10" t="n">
        <v>652</v>
      </c>
      <c r="G22" s="10" t="n">
        <v>690</v>
      </c>
      <c r="H22" s="15" t="n"/>
      <c r="I22" s="15" t="n"/>
      <c r="J22" s="15" t="n"/>
      <c r="K22" s="15" t="n"/>
      <c r="L22" s="15" t="n"/>
    </row>
    <row r="23">
      <c r="A23" t="inlineStr">
        <is>
          <t xml:space="preserve">  EBITDA</t>
        </is>
      </c>
      <c r="B23" t="inlineStr">
        <is>
          <t>A$m</t>
        </is>
      </c>
      <c r="C23" s="10" t="n">
        <v>120</v>
      </c>
      <c r="D23" s="10" t="n">
        <v>150</v>
      </c>
      <c r="E23" s="10" t="n">
        <v>205</v>
      </c>
      <c r="F23" s="10" t="n">
        <v>230</v>
      </c>
      <c r="G23" s="10" t="n">
        <v>260</v>
      </c>
      <c r="H23" s="15" t="n"/>
      <c r="I23" s="15" t="n"/>
      <c r="J23" s="15" t="n"/>
      <c r="K23" s="15" t="n"/>
      <c r="L23" s="15" t="n"/>
    </row>
    <row r="24">
      <c r="A24" s="12" t="inlineStr">
        <is>
          <t>Total segment revenue</t>
        </is>
      </c>
      <c r="B24" s="12" t="inlineStr">
        <is>
          <t>A$m</t>
        </is>
      </c>
      <c r="C24" s="13">
        <f>C13+C16+C19+C22</f>
        <v/>
      </c>
      <c r="D24" s="13">
        <f>D13+D16+D19+D22</f>
        <v/>
      </c>
      <c r="E24" s="13">
        <f>E13+E16+E19+E22</f>
        <v/>
      </c>
      <c r="F24" s="13">
        <f>F13+F16+F19+F22</f>
        <v/>
      </c>
      <c r="G24" s="13">
        <f>G13+G16+G19+G22</f>
        <v/>
      </c>
      <c r="H24" s="19" t="n"/>
      <c r="I24" s="19" t="n"/>
      <c r="J24" s="19" t="n"/>
      <c r="K24" s="19" t="n"/>
      <c r="L24" s="19" t="n"/>
    </row>
    <row r="25">
      <c r="A25" s="12" t="inlineStr">
        <is>
          <t>Total segment EBITDA</t>
        </is>
      </c>
      <c r="B25" s="12" t="inlineStr">
        <is>
          <t>A$m</t>
        </is>
      </c>
      <c r="C25" s="13">
        <f>C14+C17+C20+C23</f>
        <v/>
      </c>
      <c r="D25" s="13">
        <f>D14+D17+D20+D23</f>
        <v/>
      </c>
      <c r="E25" s="13">
        <f>E14+E17+E20+E23</f>
        <v/>
      </c>
      <c r="F25" s="13">
        <f>F14+F17+F20+F23</f>
        <v/>
      </c>
      <c r="G25" s="13">
        <f>G14+G17+G20+G23</f>
        <v/>
      </c>
      <c r="H25" s="19" t="n"/>
      <c r="I25" s="19" t="n"/>
      <c r="J25" s="19" t="n"/>
      <c r="K25" s="19" t="n"/>
      <c r="L25" s="19" t="n"/>
    </row>
    <row r="26">
      <c r="A26" s="12" t="inlineStr">
        <is>
          <t>Reconciliation to IS EBITDA</t>
        </is>
      </c>
      <c r="B26" s="12" t="inlineStr">
        <is>
          <t>A$m</t>
        </is>
      </c>
      <c r="C26" s="13">
        <f>'Income Statement'!C16</f>
        <v/>
      </c>
      <c r="D26" s="13">
        <f>'Income Statement'!D16</f>
        <v/>
      </c>
      <c r="E26" s="13">
        <f>'Income Statement'!E16</f>
        <v/>
      </c>
      <c r="F26" s="13">
        <f>'Income Statement'!F16</f>
        <v/>
      </c>
      <c r="G26" s="13">
        <f>'Income Statement'!G16</f>
        <v/>
      </c>
      <c r="H26" s="19" t="n"/>
      <c r="I26" s="19" t="n"/>
      <c r="J26" s="19" t="n"/>
      <c r="K26" s="19" t="n"/>
      <c r="L26" s="19" t="n"/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INTANGIBLE ASSETS (CONCESSION RIGHTS)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Opening balance</t>
        </is>
      </c>
      <c r="B29" t="inlineStr">
        <is>
          <t>A$m</t>
        </is>
      </c>
      <c r="C29" s="10" t="n">
        <v>22100</v>
      </c>
      <c r="D29" s="10">
        <f>C32</f>
        <v/>
      </c>
      <c r="E29" s="10">
        <f>D32</f>
        <v/>
      </c>
      <c r="F29" s="10">
        <f>E32</f>
        <v/>
      </c>
      <c r="G29" s="10">
        <f>F32</f>
        <v/>
      </c>
      <c r="H29" s="11">
        <f>G32</f>
        <v/>
      </c>
      <c r="I29" s="11">
        <f>H32</f>
        <v/>
      </c>
      <c r="J29" s="11">
        <f>I32</f>
        <v/>
      </c>
      <c r="K29" s="11">
        <f>J32</f>
        <v/>
      </c>
      <c r="L29" s="11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0" t="n">
        <v>530</v>
      </c>
      <c r="D30" s="10" t="n">
        <v>680</v>
      </c>
      <c r="E30" s="10" t="n">
        <v>1150</v>
      </c>
      <c r="F30" s="10" t="n">
        <v>880</v>
      </c>
      <c r="G30" s="10" t="n">
        <v>720</v>
      </c>
      <c r="H30" s="11">
        <f>H7</f>
        <v/>
      </c>
      <c r="I30" s="11">
        <f>I7</f>
        <v/>
      </c>
      <c r="J30" s="11">
        <f>J7</f>
        <v/>
      </c>
      <c r="K30" s="11">
        <f>K7</f>
        <v/>
      </c>
      <c r="L30" s="11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0">
        <f>'Income Statement'!C17*0.60</f>
        <v/>
      </c>
      <c r="D31" s="10">
        <f>'Income Statement'!D17*0.60</f>
        <v/>
      </c>
      <c r="E31" s="10">
        <f>'Income Statement'!E17*0.60</f>
        <v/>
      </c>
      <c r="F31" s="10">
        <f>'Income Statement'!F17*0.60</f>
        <v/>
      </c>
      <c r="G31" s="10">
        <f>'Income Statement'!G17*0.60</f>
        <v/>
      </c>
      <c r="H31" s="11">
        <f>'Income Statement'!H17*0.60</f>
        <v/>
      </c>
      <c r="I31" s="11">
        <f>'Income Statement'!I17*0.60</f>
        <v/>
      </c>
      <c r="J31" s="11">
        <f>'Income Statement'!J17*0.60</f>
        <v/>
      </c>
      <c r="K31" s="11">
        <f>'Income Statement'!K17*0.60</f>
        <v/>
      </c>
      <c r="L31" s="11">
        <f>'Income Statement'!L17*0.60</f>
        <v/>
      </c>
    </row>
    <row r="32">
      <c r="A32" s="12" t="inlineStr">
        <is>
          <t>Closing balance</t>
        </is>
      </c>
      <c r="B32" s="12" t="inlineStr">
        <is>
          <t>A$m</t>
        </is>
      </c>
      <c r="C32" s="13">
        <f>C29+C30+C31</f>
        <v/>
      </c>
      <c r="D32" s="13">
        <f>D29+D30+D31</f>
        <v/>
      </c>
      <c r="E32" s="13">
        <f>E29+E30+E31</f>
        <v/>
      </c>
      <c r="F32" s="13">
        <f>F29+F30+F31</f>
        <v/>
      </c>
      <c r="G32" s="13">
        <f>G29+G30+G31</f>
        <v/>
      </c>
      <c r="H32" s="14">
        <f>H29+H30+H31</f>
        <v/>
      </c>
      <c r="I32" s="14">
        <f>I29+I30+I31</f>
        <v/>
      </c>
      <c r="J32" s="14">
        <f>J29+J30+J31</f>
        <v/>
      </c>
      <c r="K32" s="14">
        <f>K29+K30+K31</f>
        <v/>
      </c>
      <c r="L32" s="14">
        <f>L29+L30+L31</f>
        <v/>
      </c>
    </row>
    <row r="33">
      <c r="A33" s="16" t="inlineStr">
        <is>
          <t>Cross-check to BS</t>
        </is>
      </c>
      <c r="B33" s="16" t="inlineStr">
        <is>
          <t>A$m</t>
        </is>
      </c>
      <c r="C33" s="17">
        <f>'Balance Sheet'!C14</f>
        <v/>
      </c>
      <c r="D33" s="17">
        <f>'Balance Sheet'!D14</f>
        <v/>
      </c>
      <c r="E33" s="17">
        <f>'Balance Sheet'!E14</f>
        <v/>
      </c>
      <c r="F33" s="17">
        <f>'Balance Sheet'!F14</f>
        <v/>
      </c>
      <c r="G33" s="17">
        <f>'Balance Sheet'!G14</f>
        <v/>
      </c>
      <c r="H33" s="18">
        <f>'Balance Sheet'!H14</f>
        <v/>
      </c>
      <c r="I33" s="18">
        <f>'Balance Sheet'!I14</f>
        <v/>
      </c>
      <c r="J33" s="18">
        <f>'Balance Sheet'!J14</f>
        <v/>
      </c>
      <c r="K33" s="18">
        <f>'Balance Sheet'!K14</f>
        <v/>
      </c>
      <c r="L33" s="18">
        <f>'Balance Sheet'!L14</f>
        <v/>
      </c>
    </row>
    <row r="34">
      <c r="A34" t="inlineStr"/>
      <c r="H34" s="15" t="n"/>
      <c r="I34" s="15" t="n"/>
      <c r="J34" s="15" t="n"/>
      <c r="K34" s="15" t="n"/>
      <c r="L34" s="15" t="n"/>
    </row>
    <row r="35">
      <c r="A35" s="4" t="inlineStr">
        <is>
          <t>BORROWINGS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t="inlineStr">
        <is>
          <t>Current borrowings</t>
        </is>
      </c>
      <c r="B36" t="inlineStr">
        <is>
          <t>A$m</t>
        </is>
      </c>
      <c r="C36" s="10">
        <f>'Balance Sheet'!C24</f>
        <v/>
      </c>
      <c r="D36" s="10">
        <f>'Balance Sheet'!D24</f>
        <v/>
      </c>
      <c r="E36" s="10">
        <f>'Balance Sheet'!E24</f>
        <v/>
      </c>
      <c r="F36" s="10">
        <f>'Balance Sheet'!F24</f>
        <v/>
      </c>
      <c r="G36" s="10">
        <f>'Balance Sheet'!G24</f>
        <v/>
      </c>
      <c r="H36" s="11">
        <f>'Balance Sheet'!H24</f>
        <v/>
      </c>
      <c r="I36" s="11">
        <f>'Balance Sheet'!I24</f>
        <v/>
      </c>
      <c r="J36" s="11">
        <f>'Balance Sheet'!J24</f>
        <v/>
      </c>
      <c r="K36" s="11">
        <f>'Balance Sheet'!K24</f>
        <v/>
      </c>
      <c r="L36" s="11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0">
        <f>'Balance Sheet'!C29</f>
        <v/>
      </c>
      <c r="D37" s="10">
        <f>'Balance Sheet'!D29</f>
        <v/>
      </c>
      <c r="E37" s="10">
        <f>'Balance Sheet'!E29</f>
        <v/>
      </c>
      <c r="F37" s="10">
        <f>'Balance Sheet'!F29</f>
        <v/>
      </c>
      <c r="G37" s="10">
        <f>'Balance Sheet'!G29</f>
        <v/>
      </c>
      <c r="H37" s="11">
        <f>'Balance Sheet'!H29</f>
        <v/>
      </c>
      <c r="I37" s="11">
        <f>'Balance Sheet'!I29</f>
        <v/>
      </c>
      <c r="J37" s="11">
        <f>'Balance Sheet'!J29</f>
        <v/>
      </c>
      <c r="K37" s="11">
        <f>'Balance Sheet'!K29</f>
        <v/>
      </c>
      <c r="L37" s="11">
        <f>'Balance Sheet'!L29</f>
        <v/>
      </c>
    </row>
    <row r="38">
      <c r="A38" s="12" t="inlineStr">
        <is>
          <t>Total borrowings</t>
        </is>
      </c>
      <c r="B38" s="12" t="inlineStr">
        <is>
          <t>A$m</t>
        </is>
      </c>
      <c r="C38" s="13">
        <f>'Balance Sheet'!C32</f>
        <v/>
      </c>
      <c r="D38" s="13">
        <f>'Balance Sheet'!D32</f>
        <v/>
      </c>
      <c r="E38" s="13">
        <f>'Balance Sheet'!E32</f>
        <v/>
      </c>
      <c r="F38" s="13">
        <f>'Balance Sheet'!F32</f>
        <v/>
      </c>
      <c r="G38" s="13">
        <f>'Balance Sheet'!G32</f>
        <v/>
      </c>
      <c r="H38" s="14">
        <f>'Balance Sheet'!H32</f>
        <v/>
      </c>
      <c r="I38" s="14">
        <f>'Balance Sheet'!I32</f>
        <v/>
      </c>
      <c r="J38" s="14">
        <f>'Balance Sheet'!J32</f>
        <v/>
      </c>
      <c r="K38" s="14">
        <f>'Balance Sheet'!K32</f>
        <v/>
      </c>
      <c r="L38" s="14">
        <f>'Balance Sheet'!L32</f>
        <v/>
      </c>
    </row>
    <row r="39">
      <c r="A39" t="inlineStr"/>
      <c r="H39" s="15" t="n"/>
      <c r="I39" s="15" t="n"/>
      <c r="J39" s="15" t="n"/>
      <c r="K39" s="15" t="n"/>
      <c r="L39" s="15" t="n"/>
    </row>
    <row r="40">
      <c r="A40" t="inlineStr">
        <is>
          <t>Maturity Profile</t>
        </is>
      </c>
      <c r="H40" s="15" t="n"/>
      <c r="I40" s="15" t="n"/>
      <c r="J40" s="15" t="n"/>
      <c r="K40" s="15" t="n"/>
      <c r="L40" s="15" t="n"/>
    </row>
    <row r="41">
      <c r="A41" t="inlineStr">
        <is>
          <t xml:space="preserve">  Within 1 year</t>
        </is>
      </c>
      <c r="B41" t="inlineStr">
        <is>
          <t>A$m</t>
        </is>
      </c>
      <c r="C41" s="10">
        <f>C36</f>
        <v/>
      </c>
      <c r="D41" s="10">
        <f>D36</f>
        <v/>
      </c>
      <c r="E41" s="10">
        <f>E36</f>
        <v/>
      </c>
      <c r="F41" s="10">
        <f>F36</f>
        <v/>
      </c>
      <c r="G41" s="10">
        <f>G36</f>
        <v/>
      </c>
      <c r="H41" s="11">
        <f>H36</f>
        <v/>
      </c>
      <c r="I41" s="11">
        <f>I36</f>
        <v/>
      </c>
      <c r="J41" s="11">
        <f>J36</f>
        <v/>
      </c>
      <c r="K41" s="11">
        <f>K36</f>
        <v/>
      </c>
      <c r="L41" s="11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0" t="n">
        <v>1100</v>
      </c>
      <c r="D42" s="10" t="n">
        <v>1250</v>
      </c>
      <c r="E42" s="10" t="n">
        <v>1400</v>
      </c>
      <c r="F42" s="10" t="n">
        <v>1150</v>
      </c>
      <c r="G42" s="10" t="n">
        <v>1050</v>
      </c>
      <c r="H42" s="11">
        <f>H38*0.05</f>
        <v/>
      </c>
      <c r="I42" s="11">
        <f>I38*0.05</f>
        <v/>
      </c>
      <c r="J42" s="11">
        <f>J38*0.05</f>
        <v/>
      </c>
      <c r="K42" s="11">
        <f>K38*0.05</f>
        <v/>
      </c>
      <c r="L42" s="11">
        <f>L38*0.05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0" t="n">
        <v>5200</v>
      </c>
      <c r="D43" s="10" t="n">
        <v>5650</v>
      </c>
      <c r="E43" s="10" t="n">
        <v>6300</v>
      </c>
      <c r="F43" s="10" t="n">
        <v>6400</v>
      </c>
      <c r="G43" s="10" t="n">
        <v>6500</v>
      </c>
      <c r="H43" s="11">
        <f>H38*0.26</f>
        <v/>
      </c>
      <c r="I43" s="11">
        <f>I38*0.26</f>
        <v/>
      </c>
      <c r="J43" s="11">
        <f>J38*0.26</f>
        <v/>
      </c>
      <c r="K43" s="11">
        <f>K38*0.26</f>
        <v/>
      </c>
      <c r="L43" s="11">
        <f>L38*0.26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0">
        <f>C38-C41-C42-C43</f>
        <v/>
      </c>
      <c r="D44" s="10">
        <f>D38-D41-D42-D43</f>
        <v/>
      </c>
      <c r="E44" s="10">
        <f>E38-E41-E42-E43</f>
        <v/>
      </c>
      <c r="F44" s="10">
        <f>F38-F41-F42-F43</f>
        <v/>
      </c>
      <c r="G44" s="10">
        <f>G38-G41-G42-G43</f>
        <v/>
      </c>
      <c r="H44" s="11">
        <f>H38-H41-H42-H43</f>
        <v/>
      </c>
      <c r="I44" s="11">
        <f>I38-I41-I42-I43</f>
        <v/>
      </c>
      <c r="J44" s="11">
        <f>J38-J41-J42-J43</f>
        <v/>
      </c>
      <c r="K44" s="11">
        <f>K38-K41-K42-K43</f>
        <v/>
      </c>
      <c r="L44" s="11">
        <f>L38-L41-L42-L43</f>
        <v/>
      </c>
    </row>
    <row r="45">
      <c r="A45" s="16" t="inlineStr">
        <is>
          <t xml:space="preserve">  Total (maturity check)</t>
        </is>
      </c>
      <c r="B45" s="16" t="inlineStr">
        <is>
          <t>A$m</t>
        </is>
      </c>
      <c r="C45" s="17">
        <f>C41+C42+C43+C44</f>
        <v/>
      </c>
      <c r="D45" s="17">
        <f>D41+D42+D43+D44</f>
        <v/>
      </c>
      <c r="E45" s="17">
        <f>E41+E42+E43+E44</f>
        <v/>
      </c>
      <c r="F45" s="17">
        <f>F41+F42+F43+F44</f>
        <v/>
      </c>
      <c r="G45" s="17">
        <f>G41+G42+G43+G44</f>
        <v/>
      </c>
      <c r="H45" s="18">
        <f>H41+H42+H43+H44</f>
        <v/>
      </c>
      <c r="I45" s="18">
        <f>I41+I42+I43+I44</f>
        <v/>
      </c>
      <c r="J45" s="18">
        <f>J41+J42+J43+J44</f>
        <v/>
      </c>
      <c r="K45" s="18">
        <f>K41+K42+K43+K44</f>
        <v/>
      </c>
      <c r="L45" s="18">
        <f>L41+L42+L43+L44</f>
        <v/>
      </c>
    </row>
    <row r="46">
      <c r="A46" t="inlineStr"/>
      <c r="H46" s="15" t="n"/>
      <c r="I46" s="15" t="n"/>
      <c r="J46" s="15" t="n"/>
      <c r="K46" s="15" t="n"/>
      <c r="L46" s="15" t="n"/>
    </row>
    <row r="47">
      <c r="A47" t="inlineStr">
        <is>
          <t>Borrowing Costs</t>
        </is>
      </c>
      <c r="H47" s="15" t="n"/>
      <c r="I47" s="15" t="n"/>
      <c r="J47" s="15" t="n"/>
      <c r="K47" s="15" t="n"/>
      <c r="L47" s="15" t="n"/>
    </row>
    <row r="48">
      <c r="A48" t="inlineStr">
        <is>
          <t xml:space="preserve">  Interest expense</t>
        </is>
      </c>
      <c r="B48" t="inlineStr">
        <is>
          <t>A$m</t>
        </is>
      </c>
      <c r="C48" s="10">
        <f>-'Income Statement'!C20</f>
        <v/>
      </c>
      <c r="D48" s="10">
        <f>-'Income Statement'!D20</f>
        <v/>
      </c>
      <c r="E48" s="10">
        <f>-'Income Statement'!E20</f>
        <v/>
      </c>
      <c r="F48" s="10">
        <f>-'Income Statement'!F20</f>
        <v/>
      </c>
      <c r="G48" s="10">
        <f>-'Income Statement'!G20</f>
        <v/>
      </c>
      <c r="H48" s="11">
        <f>-'Income Statement'!H20</f>
        <v/>
      </c>
      <c r="I48" s="11">
        <f>-'Income Statement'!I20</f>
        <v/>
      </c>
      <c r="J48" s="11">
        <f>-'Income Statement'!J20</f>
        <v/>
      </c>
      <c r="K48" s="11">
        <f>-'Income Statement'!K20</f>
        <v/>
      </c>
      <c r="L48" s="11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0" t="n">
        <v>45</v>
      </c>
      <c r="D49" s="10" t="n">
        <v>78</v>
      </c>
      <c r="E49" s="10" t="n">
        <v>125</v>
      </c>
      <c r="F49" s="10" t="n">
        <v>95</v>
      </c>
      <c r="G49" s="10" t="n">
        <v>80</v>
      </c>
      <c r="H49" s="11">
        <f>Assumptions!H21*Assumptions!H17*0.15</f>
        <v/>
      </c>
      <c r="I49" s="11">
        <f>Assumptions!I21*Assumptions!I17*0.15</f>
        <v/>
      </c>
      <c r="J49" s="11">
        <f>Assumptions!J21*Assumptions!J17*0.15</f>
        <v/>
      </c>
      <c r="K49" s="11">
        <f>Assumptions!K21*Assumptions!K17*0.15</f>
        <v/>
      </c>
      <c r="L49" s="11">
        <f>Assumptions!L21*Assumptions!L17*0.15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0">
        <f>Assumptions!C17</f>
        <v/>
      </c>
      <c r="D50" s="20">
        <f>Assumptions!D17</f>
        <v/>
      </c>
      <c r="E50" s="20">
        <f>Assumptions!E17</f>
        <v/>
      </c>
      <c r="F50" s="20">
        <f>Assumptions!F17</f>
        <v/>
      </c>
      <c r="G50" s="20">
        <f>Assumptions!G17</f>
        <v/>
      </c>
      <c r="H50" s="21">
        <f>Assumptions!H17</f>
        <v/>
      </c>
      <c r="I50" s="21">
        <f>Assumptions!I17</f>
        <v/>
      </c>
      <c r="J50" s="21">
        <f>Assumptions!J17</f>
        <v/>
      </c>
      <c r="K50" s="21">
        <f>Assumptions!K17</f>
        <v/>
      </c>
      <c r="L50" s="21">
        <f>Assumptions!L17</f>
        <v/>
      </c>
    </row>
    <row r="51">
      <c r="A51" t="inlineStr"/>
      <c r="H51" s="15" t="n"/>
      <c r="I51" s="15" t="n"/>
      <c r="J51" s="15" t="n"/>
      <c r="K51" s="15" t="n"/>
      <c r="L51" s="15" t="n"/>
    </row>
    <row r="52">
      <c r="A52" s="4" t="inlineStr">
        <is>
          <t>INCOME TAX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t="inlineStr">
        <is>
          <t>Profit before tax</t>
        </is>
      </c>
      <c r="B53" t="inlineStr">
        <is>
          <t>A$m</t>
        </is>
      </c>
      <c r="C53" s="10">
        <f>'Income Statement'!C21</f>
        <v/>
      </c>
      <c r="D53" s="10">
        <f>'Income Statement'!D21</f>
        <v/>
      </c>
      <c r="E53" s="10">
        <f>'Income Statement'!E21</f>
        <v/>
      </c>
      <c r="F53" s="10">
        <f>'Income Statement'!F21</f>
        <v/>
      </c>
      <c r="G53" s="10">
        <f>'Income Statement'!G21</f>
        <v/>
      </c>
      <c r="H53" s="11">
        <f>'Income Statement'!H21</f>
        <v/>
      </c>
      <c r="I53" s="11">
        <f>'Income Statement'!I21</f>
        <v/>
      </c>
      <c r="J53" s="11">
        <f>'Income Statement'!J21</f>
        <v/>
      </c>
      <c r="K53" s="11">
        <f>'Income Statement'!K21</f>
        <v/>
      </c>
      <c r="L53" s="11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0">
        <f>C53*-0.30</f>
        <v/>
      </c>
      <c r="D54" s="10">
        <f>D53*-0.30</f>
        <v/>
      </c>
      <c r="E54" s="10">
        <f>E53*-0.30</f>
        <v/>
      </c>
      <c r="F54" s="10">
        <f>F53*-0.30</f>
        <v/>
      </c>
      <c r="G54" s="10">
        <f>G53*-0.30</f>
        <v/>
      </c>
      <c r="H54" s="11">
        <f>H53*-0.30</f>
        <v/>
      </c>
      <c r="I54" s="11">
        <f>I53*-0.30</f>
        <v/>
      </c>
      <c r="J54" s="11">
        <f>J53*-0.30</f>
        <v/>
      </c>
      <c r="K54" s="11">
        <f>K53*-0.30</f>
        <v/>
      </c>
      <c r="L54" s="11">
        <f>L53*-0.30</f>
        <v/>
      </c>
    </row>
    <row r="55">
      <c r="A55" t="inlineStr">
        <is>
          <t>Tax effect adjustments:</t>
        </is>
      </c>
      <c r="H55" s="15" t="n"/>
      <c r="I55" s="15" t="n"/>
      <c r="J55" s="15" t="n"/>
      <c r="K55" s="15" t="n"/>
      <c r="L55" s="15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0" t="n">
        <v>215</v>
      </c>
      <c r="D56" s="10" t="n">
        <v>210</v>
      </c>
      <c r="E56" s="10" t="n">
        <v>205</v>
      </c>
      <c r="F56" s="10" t="n">
        <v>195</v>
      </c>
      <c r="G56" s="10" t="n">
        <v>190</v>
      </c>
      <c r="H56" s="11" t="n">
        <v>190</v>
      </c>
      <c r="I56" s="11" t="n">
        <v>190</v>
      </c>
      <c r="J56" s="11" t="n">
        <v>190</v>
      </c>
      <c r="K56" s="11" t="n">
        <v>190</v>
      </c>
      <c r="L56" s="11" t="n">
        <v>190</v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0" t="n">
        <v>-50</v>
      </c>
      <c r="D57" s="10" t="n">
        <v>-48</v>
      </c>
      <c r="E57" s="10" t="n">
        <v>-45</v>
      </c>
      <c r="F57" s="10" t="n">
        <v>-42</v>
      </c>
      <c r="G57" s="10" t="n">
        <v>-40</v>
      </c>
      <c r="H57" s="11" t="n">
        <v>-40</v>
      </c>
      <c r="I57" s="11" t="n">
        <v>-40</v>
      </c>
      <c r="J57" s="11" t="n">
        <v>-40</v>
      </c>
      <c r="K57" s="11" t="n">
        <v>-40</v>
      </c>
      <c r="L57" s="11" t="n">
        <v>-40</v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0" t="n">
        <v>25</v>
      </c>
      <c r="D58" s="10" t="n">
        <v>20</v>
      </c>
      <c r="E58" s="10" t="n">
        <v>15</v>
      </c>
      <c r="F58" s="10" t="n">
        <v>10</v>
      </c>
      <c r="G58" s="10" t="n">
        <v>8</v>
      </c>
      <c r="H58" s="11" t="n">
        <v>8</v>
      </c>
      <c r="I58" s="11" t="n">
        <v>8</v>
      </c>
      <c r="J58" s="11" t="n">
        <v>8</v>
      </c>
      <c r="K58" s="11" t="n">
        <v>8</v>
      </c>
      <c r="L58" s="11" t="n">
        <v>8</v>
      </c>
    </row>
    <row r="59">
      <c r="A59" s="12" t="inlineStr">
        <is>
          <t>Total tax adjustments</t>
        </is>
      </c>
      <c r="B59" s="12" t="inlineStr">
        <is>
          <t>A$m</t>
        </is>
      </c>
      <c r="C59" s="13">
        <f>C56+C57+C58</f>
        <v/>
      </c>
      <c r="D59" s="13">
        <f>D56+D57+D58</f>
        <v/>
      </c>
      <c r="E59" s="13">
        <f>E56+E57+E58</f>
        <v/>
      </c>
      <c r="F59" s="13">
        <f>F56+F57+F58</f>
        <v/>
      </c>
      <c r="G59" s="13">
        <f>G56+G57+G58</f>
        <v/>
      </c>
      <c r="H59" s="14">
        <f>H56+H57+H58</f>
        <v/>
      </c>
      <c r="I59" s="14">
        <f>I56+I57+I58</f>
        <v/>
      </c>
      <c r="J59" s="14">
        <f>J56+J57+J58</f>
        <v/>
      </c>
      <c r="K59" s="14">
        <f>K56+K57+K58</f>
        <v/>
      </c>
      <c r="L59" s="14">
        <f>L56+L57+L58</f>
        <v/>
      </c>
    </row>
    <row r="60">
      <c r="A60" s="12" t="inlineStr">
        <is>
          <t>Income tax expense</t>
        </is>
      </c>
      <c r="B60" s="12" t="inlineStr">
        <is>
          <t>A$m</t>
        </is>
      </c>
      <c r="C60" s="13">
        <f>'Income Statement'!C22</f>
        <v/>
      </c>
      <c r="D60" s="13">
        <f>'Income Statement'!D22</f>
        <v/>
      </c>
      <c r="E60" s="13">
        <f>'Income Statement'!E22</f>
        <v/>
      </c>
      <c r="F60" s="13">
        <f>'Income Statement'!F22</f>
        <v/>
      </c>
      <c r="G60" s="13">
        <f>'Income Statement'!G22</f>
        <v/>
      </c>
      <c r="H60" s="14">
        <f>'Income Statement'!H22</f>
        <v/>
      </c>
      <c r="I60" s="14">
        <f>'Income Statement'!I22</f>
        <v/>
      </c>
      <c r="J60" s="14">
        <f>'Income Statement'!J22</f>
        <v/>
      </c>
      <c r="K60" s="14">
        <f>'Income Statement'!K22</f>
        <v/>
      </c>
      <c r="L60" s="14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0">
        <f>C60/C53</f>
        <v/>
      </c>
      <c r="D61" s="20">
        <f>D60/D53</f>
        <v/>
      </c>
      <c r="E61" s="20">
        <f>E60/E53</f>
        <v/>
      </c>
      <c r="F61" s="20">
        <f>F60/F53</f>
        <v/>
      </c>
      <c r="G61" s="20">
        <f>G60/G53</f>
        <v/>
      </c>
      <c r="H61" s="21">
        <f>H60/H53</f>
        <v/>
      </c>
      <c r="I61" s="21">
        <f>I60/I53</f>
        <v/>
      </c>
      <c r="J61" s="21">
        <f>J60/J53</f>
        <v/>
      </c>
      <c r="K61" s="21">
        <f>K60/K53</f>
        <v/>
      </c>
      <c r="L61" s="21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0">
        <f>Assumptions!C18</f>
        <v/>
      </c>
      <c r="D62" s="20">
        <f>Assumptions!D18</f>
        <v/>
      </c>
      <c r="E62" s="20">
        <f>Assumptions!E18</f>
        <v/>
      </c>
      <c r="F62" s="20">
        <f>Assumptions!F18</f>
        <v/>
      </c>
      <c r="G62" s="20">
        <f>Assumptions!G18</f>
        <v/>
      </c>
      <c r="H62" s="21">
        <f>Assumptions!H18</f>
        <v/>
      </c>
      <c r="I62" s="21">
        <f>Assumptions!I18</f>
        <v/>
      </c>
      <c r="J62" s="21">
        <f>Assumptions!J18</f>
        <v/>
      </c>
      <c r="K62" s="21">
        <f>Assumptions!K18</f>
        <v/>
      </c>
      <c r="L62" s="21">
        <f>Assumptions!L18</f>
        <v/>
      </c>
    </row>
    <row r="63">
      <c r="A63" t="inlineStr"/>
      <c r="H63" s="15" t="n"/>
      <c r="I63" s="15" t="n"/>
      <c r="J63" s="15" t="n"/>
      <c r="K63" s="15" t="n"/>
      <c r="L63" s="15" t="n"/>
    </row>
    <row r="64">
      <c r="A64" s="4" t="inlineStr">
        <is>
          <t>DIVIDENDS / DISTRIBUTIONS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t="inlineStr">
        <is>
          <t>DPS (cents per security)</t>
        </is>
      </c>
      <c r="B65" t="inlineStr">
        <is>
          <t>A¢</t>
        </is>
      </c>
      <c r="C65" s="22">
        <f>Assumptions!C26</f>
        <v/>
      </c>
      <c r="D65" s="22">
        <f>Assumptions!D26</f>
        <v/>
      </c>
      <c r="E65" s="22">
        <f>Assumptions!E26</f>
        <v/>
      </c>
      <c r="F65" s="22">
        <f>Assumptions!F26</f>
        <v/>
      </c>
      <c r="G65" s="22">
        <f>Assumptions!G26</f>
        <v/>
      </c>
      <c r="H65" s="23">
        <f>Assumptions!H26</f>
        <v/>
      </c>
      <c r="I65" s="23">
        <f>Assumptions!I26</f>
        <v/>
      </c>
      <c r="J65" s="23">
        <f>Assumptions!J26</f>
        <v/>
      </c>
      <c r="K65" s="23">
        <f>Assumptions!K26</f>
        <v/>
      </c>
      <c r="L65" s="23">
        <f>Assumptions!L26</f>
        <v/>
      </c>
    </row>
    <row r="66">
      <c r="A66" t="inlineStr">
        <is>
          <t>Securities on issue (m)</t>
        </is>
      </c>
      <c r="B66" t="inlineStr">
        <is>
          <t>m</t>
        </is>
      </c>
      <c r="C66" s="22">
        <f>Assumptions!C27</f>
        <v/>
      </c>
      <c r="D66" s="22">
        <f>Assumptions!D27</f>
        <v/>
      </c>
      <c r="E66" s="22">
        <f>Assumptions!E27</f>
        <v/>
      </c>
      <c r="F66" s="22">
        <f>Assumptions!F27</f>
        <v/>
      </c>
      <c r="G66" s="22">
        <f>Assumptions!G27</f>
        <v/>
      </c>
      <c r="H66" s="23">
        <f>Assumptions!H27</f>
        <v/>
      </c>
      <c r="I66" s="23">
        <f>Assumptions!I27</f>
        <v/>
      </c>
      <c r="J66" s="23">
        <f>Assumptions!J27</f>
        <v/>
      </c>
      <c r="K66" s="23">
        <f>Assumptions!K27</f>
        <v/>
      </c>
      <c r="L66" s="23">
        <f>Assumptions!L27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0">
        <f>'Cash Flow Statement'!C19</f>
        <v/>
      </c>
      <c r="D67" s="10">
        <f>'Cash Flow Statement'!D19</f>
        <v/>
      </c>
      <c r="E67" s="10">
        <f>'Cash Flow Statement'!E19</f>
        <v/>
      </c>
      <c r="F67" s="10">
        <f>'Cash Flow Statement'!F19</f>
        <v/>
      </c>
      <c r="G67" s="10">
        <f>'Cash Flow Statement'!G19</f>
        <v/>
      </c>
      <c r="H67" s="11">
        <f>'Cash Flow Statement'!H19</f>
        <v/>
      </c>
      <c r="I67" s="11">
        <f>'Cash Flow Statement'!I19</f>
        <v/>
      </c>
      <c r="J67" s="11">
        <f>'Cash Flow Statement'!J19</f>
        <v/>
      </c>
      <c r="K67" s="11">
        <f>'Cash Flow Statement'!K19</f>
        <v/>
      </c>
      <c r="L67" s="11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0">
        <f>-C67/'Income Statement'!C23</f>
        <v/>
      </c>
      <c r="D68" s="20">
        <f>-D67/'Income Statement'!D23</f>
        <v/>
      </c>
      <c r="E68" s="20">
        <f>-E67/'Income Statement'!E23</f>
        <v/>
      </c>
      <c r="F68" s="20">
        <f>-F67/'Income Statement'!F23</f>
        <v/>
      </c>
      <c r="G68" s="20">
        <f>-G67/'Income Statement'!G23</f>
        <v/>
      </c>
      <c r="H68" s="21">
        <f>-H67/'Income Statement'!H23</f>
        <v/>
      </c>
      <c r="I68" s="21">
        <f>-I67/'Income Statement'!I23</f>
        <v/>
      </c>
      <c r="J68" s="21">
        <f>-J67/'Income Statement'!J23</f>
        <v/>
      </c>
      <c r="K68" s="21">
        <f>-K67/'Income Statement'!K23</f>
        <v/>
      </c>
      <c r="L68" s="21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</row>
    <row r="70">
      <c r="A70" t="inlineStr"/>
      <c r="H70" s="15" t="n"/>
      <c r="I70" s="15" t="n"/>
      <c r="J70" s="15" t="n"/>
      <c r="K70" s="15" t="n"/>
      <c r="L70" s="15" t="n"/>
    </row>
    <row r="71">
      <c r="A71" s="4" t="inlineStr">
        <is>
          <t>COMMITMENTS &amp; CONTINGENCIES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t="inlineStr">
        <is>
          <t>Capital commitments</t>
        </is>
      </c>
      <c r="B72" t="inlineStr">
        <is>
          <t>A$m</t>
        </is>
      </c>
      <c r="C72" s="10" t="n">
        <v>2800</v>
      </c>
      <c r="D72" s="10" t="n">
        <v>3200</v>
      </c>
      <c r="E72" s="10" t="n">
        <v>2500</v>
      </c>
      <c r="F72" s="10" t="n">
        <v>1800</v>
      </c>
      <c r="G72" s="10" t="n">
        <v>1500</v>
      </c>
      <c r="H72" s="11">
        <f>Assumptions!H21*1.2</f>
        <v/>
      </c>
      <c r="I72" s="11">
        <f>Assumptions!I21*1.2</f>
        <v/>
      </c>
      <c r="J72" s="11">
        <f>Assumptions!J21*1.2</f>
        <v/>
      </c>
      <c r="K72" s="11">
        <f>Assumptions!K21*1.2</f>
        <v/>
      </c>
      <c r="L72" s="11">
        <f>Assumptions!L21*1.2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0" t="n">
        <v>85</v>
      </c>
      <c r="D73" s="10" t="n">
        <v>90</v>
      </c>
      <c r="E73" s="10" t="n">
        <v>95</v>
      </c>
      <c r="F73" s="10" t="n">
        <v>100</v>
      </c>
      <c r="G73" s="10" t="n">
        <v>105</v>
      </c>
      <c r="H73" s="11">
        <f>G73*1.03</f>
        <v/>
      </c>
      <c r="I73" s="11">
        <f>H73*1.03</f>
        <v/>
      </c>
      <c r="J73" s="11">
        <f>I73*1.03</f>
        <v/>
      </c>
      <c r="K73" s="11">
        <f>J73*1.03</f>
        <v/>
      </c>
      <c r="L73" s="11">
        <f>K73*1.03</f>
        <v/>
      </c>
    </row>
    <row r="74">
      <c r="A74" t="inlineStr">
        <is>
          <t>Contingent liabilities</t>
        </is>
      </c>
      <c r="B74" t="inlineStr">
        <is>
          <t>A$m</t>
        </is>
      </c>
      <c r="C74" s="10" t="n">
        <v>150</v>
      </c>
      <c r="D74" s="10" t="n">
        <v>150</v>
      </c>
      <c r="E74" s="10" t="n">
        <v>160</v>
      </c>
      <c r="F74" s="10" t="n">
        <v>160</v>
      </c>
      <c r="G74" s="10" t="n">
        <v>170</v>
      </c>
      <c r="H74" s="11" t="n">
        <v>170</v>
      </c>
      <c r="I74" s="11" t="n">
        <v>170</v>
      </c>
      <c r="J74" s="11" t="n">
        <v>170</v>
      </c>
      <c r="K74" s="11" t="n">
        <v>170</v>
      </c>
      <c r="L74" s="11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2026-02-10T22:56:59Z</dcterms:created>
  <dcterms:modified xsi:type="dcterms:W3CDTF">2026-02-10T22:56:59Z</dcterms:modified>
</cp:coreProperties>
</file>