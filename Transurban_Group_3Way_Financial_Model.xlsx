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1"/>
    </font>
    <font>
      <name val="Calibri"/>
      <color rgb="002E75B6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164" fontId="5" fillId="0" borderId="0" pivotButton="0" quotePrefix="0" xfId="0"/>
    <xf numFmtId="164" fontId="6" fillId="4" borderId="0" pivotButton="0" quotePrefix="0" xfId="0"/>
    <xf numFmtId="3" fontId="5" fillId="0" borderId="0" pivotButton="0" quotePrefix="0" xfId="0"/>
    <xf numFmtId="3" fontId="6" fillId="4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0" fillId="4" borderId="0" pivotButton="0" quotePrefix="0" xfId="0"/>
    <xf numFmtId="0" fontId="7" fillId="0" borderId="2" pivotButton="0" quotePrefix="0" xfId="0"/>
    <xf numFmtId="165" fontId="7" fillId="0" borderId="2" pivotButton="0" quotePrefix="0" xfId="0"/>
    <xf numFmtId="165" fontId="7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Assumption / Driver</t>
        </is>
      </c>
      <c r="B4" s="3" t="inlineStr">
        <is>
          <t>Unit</t>
        </is>
      </c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DRIVERS</t>
        </is>
      </c>
      <c r="B5" s="4" t="inlineStr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 growth</t>
        </is>
      </c>
      <c r="B6" t="inlineStr">
        <is>
          <t>%</t>
        </is>
      </c>
      <c r="C6" s="5" t="n">
        <v>-0.042</v>
      </c>
      <c r="D6" s="5" t="n">
        <v>0.151</v>
      </c>
      <c r="E6" s="5" t="n">
        <v>0.221</v>
      </c>
      <c r="F6" s="5" t="n">
        <v>0.08699999999999999</v>
      </c>
      <c r="G6" s="5" t="n">
        <v>0.062</v>
      </c>
      <c r="H6" s="6" t="n">
        <v>0.055</v>
      </c>
      <c r="I6" s="6" t="n">
        <v>0.05</v>
      </c>
      <c r="J6" s="6" t="n">
        <v>0.045</v>
      </c>
      <c r="K6" s="6" t="n">
        <v>0.04</v>
      </c>
      <c r="L6" s="6" t="n">
        <v>0.038</v>
      </c>
    </row>
    <row r="7">
      <c r="A7" t="inlineStr">
        <is>
          <t>Other revenue growth</t>
        </is>
      </c>
      <c r="B7" t="inlineStr">
        <is>
          <t>%</t>
        </is>
      </c>
      <c r="C7" s="5" t="n">
        <v>0.02</v>
      </c>
      <c r="D7" s="5" t="n">
        <v>-0.025</v>
      </c>
      <c r="E7" s="5" t="n">
        <v>0.068</v>
      </c>
      <c r="F7" s="5" t="n">
        <v>-0.018</v>
      </c>
      <c r="G7" s="5" t="n">
        <v>0.104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/>
      <c r="B8" t="inlineStr"/>
    </row>
    <row r="9">
      <c r="A9" s="4" t="inlineStr">
        <is>
          <t>OPERATING COST DRIVERS</t>
        </is>
      </c>
      <c r="B9" s="4" t="inlineStr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Opex as % of revenue</t>
        </is>
      </c>
      <c r="B10" t="inlineStr">
        <is>
          <t>%</t>
        </is>
      </c>
      <c r="C10" s="5" t="n">
        <v>0.352</v>
      </c>
      <c r="D10" s="5" t="n">
        <v>0.325</v>
      </c>
      <c r="E10" s="5" t="n">
        <v>0.315</v>
      </c>
      <c r="F10" s="5" t="n">
        <v>0.307</v>
      </c>
      <c r="G10" s="5" t="n">
        <v>0.308</v>
      </c>
      <c r="H10" s="6" t="n">
        <v>0.305</v>
      </c>
      <c r="I10" s="6" t="n">
        <v>0.3</v>
      </c>
      <c r="J10" s="6" t="n">
        <v>0.295</v>
      </c>
      <c r="K10" s="6" t="n">
        <v>0.29</v>
      </c>
      <c r="L10" s="6" t="n">
        <v>0.288</v>
      </c>
    </row>
    <row r="11">
      <c r="A11" t="inlineStr">
        <is>
          <t>Employee costs as % of revenue</t>
        </is>
      </c>
      <c r="B11" t="inlineStr">
        <is>
          <t>%</t>
        </is>
      </c>
      <c r="C11" s="5" t="n">
        <v>0.08500000000000001</v>
      </c>
      <c r="D11" s="5" t="n">
        <v>0.08</v>
      </c>
      <c r="E11" s="5" t="n">
        <v>0.07400000000000001</v>
      </c>
      <c r="F11" s="5" t="n">
        <v>0.073</v>
      </c>
      <c r="G11" s="5" t="n">
        <v>0.07200000000000001</v>
      </c>
      <c r="H11" s="6" t="n">
        <v>0.07200000000000001</v>
      </c>
      <c r="I11" s="6" t="n">
        <v>0.07000000000000001</v>
      </c>
      <c r="J11" s="6" t="n">
        <v>0.06900000000000001</v>
      </c>
      <c r="K11" s="6" t="n">
        <v>0.068</v>
      </c>
      <c r="L11" s="6" t="n">
        <v>0.067</v>
      </c>
    </row>
    <row r="12">
      <c r="A12" t="inlineStr"/>
      <c r="B12" t="inlineStr"/>
    </row>
    <row r="13">
      <c r="A13" s="4" t="inlineStr">
        <is>
          <t>DEPRECIATION &amp; AMORTISATION</t>
        </is>
      </c>
      <c r="B13" s="4" t="inlineStr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D&amp;A as % of non-current assets</t>
        </is>
      </c>
      <c r="B14" t="inlineStr">
        <is>
          <t>%</t>
        </is>
      </c>
      <c r="C14" s="5" t="n">
        <v>0.027</v>
      </c>
      <c r="D14" s="5" t="n">
        <v>0.027</v>
      </c>
      <c r="E14" s="5" t="n">
        <v>0.027</v>
      </c>
      <c r="F14" s="5" t="n">
        <v>0.027</v>
      </c>
      <c r="G14" s="5" t="n">
        <v>0.028</v>
      </c>
      <c r="H14" s="6" t="n">
        <v>0.028</v>
      </c>
      <c r="I14" s="6" t="n">
        <v>0.028</v>
      </c>
      <c r="J14" s="6" t="n">
        <v>0.028</v>
      </c>
      <c r="K14" s="6" t="n">
        <v>0.028</v>
      </c>
      <c r="L14" s="6" t="n">
        <v>0.028</v>
      </c>
    </row>
    <row r="15">
      <c r="A15" t="inlineStr"/>
      <c r="B15" t="inlineStr"/>
    </row>
    <row r="16">
      <c r="A16" s="4" t="inlineStr">
        <is>
          <t>FINANCING ASSUMPTIONS</t>
        </is>
      </c>
      <c r="B16" s="4" t="inlineStr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Average cost of debt</t>
        </is>
      </c>
      <c r="B17" t="inlineStr">
        <is>
          <t>%</t>
        </is>
      </c>
      <c r="C17" s="5" t="n">
        <v>0.046</v>
      </c>
      <c r="D17" s="5" t="n">
        <v>0.04</v>
      </c>
      <c r="E17" s="5" t="n">
        <v>0.042</v>
      </c>
      <c r="F17" s="5" t="n">
        <v>0.045</v>
      </c>
      <c r="G17" s="5" t="n">
        <v>0.046</v>
      </c>
      <c r="H17" s="6" t="n">
        <v>0.047</v>
      </c>
      <c r="I17" s="6" t="n">
        <v>0.047</v>
      </c>
      <c r="J17" s="6" t="n">
        <v>0.048</v>
      </c>
      <c r="K17" s="6" t="n">
        <v>0.048</v>
      </c>
      <c r="L17" s="6" t="n">
        <v>0.048</v>
      </c>
    </row>
    <row r="18">
      <c r="A18" t="inlineStr">
        <is>
          <t>Effective tax rate</t>
        </is>
      </c>
      <c r="B18" t="inlineStr">
        <is>
          <t>%</t>
        </is>
      </c>
      <c r="C18" s="5" t="n">
        <v>-0.015</v>
      </c>
      <c r="D18" s="5" t="n">
        <v>0.14</v>
      </c>
      <c r="E18" s="5" t="n">
        <v>0.143</v>
      </c>
      <c r="F18" s="5" t="n">
        <v>0.144</v>
      </c>
      <c r="G18" s="5" t="n">
        <v>0.15</v>
      </c>
      <c r="H18" s="6" t="n">
        <v>0.15</v>
      </c>
      <c r="I18" s="6" t="n">
        <v>0.15</v>
      </c>
      <c r="J18" s="6" t="n">
        <v>0.15</v>
      </c>
      <c r="K18" s="6" t="n">
        <v>0.15</v>
      </c>
      <c r="L18" s="6" t="n">
        <v>0.15</v>
      </c>
    </row>
    <row r="19">
      <c r="A19" t="inlineStr"/>
      <c r="B19" t="inlineStr"/>
    </row>
    <row r="20">
      <c r="A20" s="4" t="inlineStr">
        <is>
          <t>BALANCE SHEET DRIVERS</t>
        </is>
      </c>
      <c r="B20" s="4" t="inlineStr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Capex (maintenance + growth)</t>
        </is>
      </c>
      <c r="B21" t="inlineStr">
        <is>
          <t>A$m</t>
        </is>
      </c>
      <c r="C21" s="7" t="n">
        <v>628</v>
      </c>
      <c r="D21" s="7" t="n">
        <v>1092</v>
      </c>
      <c r="E21" s="7" t="n">
        <v>1805</v>
      </c>
      <c r="F21" s="7" t="n">
        <v>1420</v>
      </c>
      <c r="G21" s="7" t="n">
        <v>1200</v>
      </c>
      <c r="H21" s="8" t="n">
        <v>1300</v>
      </c>
      <c r="I21" s="8" t="n">
        <v>1350</v>
      </c>
      <c r="J21" s="8" t="n">
        <v>1400</v>
      </c>
      <c r="K21" s="8" t="n">
        <v>1250</v>
      </c>
      <c r="L21" s="8" t="n">
        <v>1200</v>
      </c>
    </row>
    <row r="22">
      <c r="A22" t="inlineStr">
        <is>
          <t>Trade receivables days</t>
        </is>
      </c>
      <c r="B22" t="inlineStr">
        <is>
          <t>days</t>
        </is>
      </c>
      <c r="C22" s="7" t="n">
        <v>28</v>
      </c>
      <c r="D22" s="7" t="n">
        <v>26</v>
      </c>
      <c r="E22" s="7" t="n">
        <v>25</v>
      </c>
      <c r="F22" s="7" t="n">
        <v>24</v>
      </c>
      <c r="G22" s="7" t="n">
        <v>24</v>
      </c>
      <c r="H22" s="8" t="n">
        <v>24</v>
      </c>
      <c r="I22" s="8" t="n">
        <v>24</v>
      </c>
      <c r="J22" s="8" t="n">
        <v>24</v>
      </c>
      <c r="K22" s="8" t="n">
        <v>24</v>
      </c>
      <c r="L22" s="8" t="n">
        <v>24</v>
      </c>
    </row>
    <row r="23">
      <c r="A23" t="inlineStr">
        <is>
          <t>Trade payables days</t>
        </is>
      </c>
      <c r="B23" t="inlineStr">
        <is>
          <t>days</t>
        </is>
      </c>
      <c r="C23" s="7" t="n">
        <v>55</v>
      </c>
      <c r="D23" s="7" t="n">
        <v>52</v>
      </c>
      <c r="E23" s="7" t="n">
        <v>50</v>
      </c>
      <c r="F23" s="7" t="n">
        <v>48</v>
      </c>
      <c r="G23" s="7" t="n">
        <v>48</v>
      </c>
      <c r="H23" s="8" t="n">
        <v>48</v>
      </c>
      <c r="I23" s="8" t="n">
        <v>48</v>
      </c>
      <c r="J23" s="8" t="n">
        <v>48</v>
      </c>
      <c r="K23" s="8" t="n">
        <v>48</v>
      </c>
      <c r="L23" s="8" t="n">
        <v>48</v>
      </c>
    </row>
    <row r="24">
      <c r="A24" t="inlineStr"/>
      <c r="B24" t="inlineStr"/>
    </row>
    <row r="25">
      <c r="A25" s="4" t="inlineStr">
        <is>
          <t>CASH FLOW / CAPITAL STRUCTURE</t>
        </is>
      </c>
      <c r="B25" s="4" t="inlineStr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Dividend per security (DPS)</t>
        </is>
      </c>
      <c r="B26" t="inlineStr">
        <is>
          <t>A¢</t>
        </is>
      </c>
      <c r="C26" s="7" t="n">
        <v>41</v>
      </c>
      <c r="D26" s="7" t="n">
        <v>53</v>
      </c>
      <c r="E26" s="7" t="n">
        <v>62</v>
      </c>
      <c r="F26" s="7" t="n">
        <v>64.5</v>
      </c>
      <c r="G26" s="7" t="n">
        <v>66</v>
      </c>
      <c r="H26" s="8" t="n">
        <v>68</v>
      </c>
      <c r="I26" s="8" t="n">
        <v>70</v>
      </c>
      <c r="J26" s="8" t="n">
        <v>72</v>
      </c>
      <c r="K26" s="8" t="n">
        <v>74</v>
      </c>
      <c r="L26" s="8" t="n">
        <v>76</v>
      </c>
    </row>
    <row r="27">
      <c r="A27" t="inlineStr">
        <is>
          <t>Securities on issue (approx)</t>
        </is>
      </c>
      <c r="B27" t="inlineStr">
        <is>
          <t>m</t>
        </is>
      </c>
      <c r="C27" s="7" t="n">
        <v>1932</v>
      </c>
      <c r="D27" s="7" t="n">
        <v>1948</v>
      </c>
      <c r="E27" s="7" t="n">
        <v>1964</v>
      </c>
      <c r="F27" s="7" t="n">
        <v>1978</v>
      </c>
      <c r="G27" s="7" t="n">
        <v>1990</v>
      </c>
      <c r="H27" s="8" t="n">
        <v>2000</v>
      </c>
      <c r="I27" s="8" t="n">
        <v>2010</v>
      </c>
      <c r="J27" s="8" t="n">
        <v>2020</v>
      </c>
      <c r="K27" s="8" t="n">
        <v>2025</v>
      </c>
      <c r="L27" s="8" t="n">
        <v>2030</v>
      </c>
    </row>
    <row r="28">
      <c r="A28" t="inlineStr">
        <is>
          <t>Net debt issuance / (repayment)</t>
        </is>
      </c>
      <c r="B28" t="inlineStr">
        <is>
          <t>A$m</t>
        </is>
      </c>
      <c r="C28" s="7" t="n">
        <v>1200</v>
      </c>
      <c r="D28" s="7" t="n">
        <v>2050</v>
      </c>
      <c r="E28" s="7" t="n">
        <v>2800</v>
      </c>
      <c r="F28" s="7" t="n">
        <v>600</v>
      </c>
      <c r="G28" s="7" t="n">
        <v>300</v>
      </c>
      <c r="H28" s="8" t="n">
        <v>400</v>
      </c>
      <c r="I28" s="8" t="n">
        <v>350</v>
      </c>
      <c r="J28" s="8" t="n">
        <v>300</v>
      </c>
      <c r="K28" s="8" t="n">
        <v>200</v>
      </c>
      <c r="L28" s="8" t="n">
        <v>100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Income Statement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 t="n">
        <v>2459</v>
      </c>
      <c r="D6" s="10" t="n">
        <v>2830</v>
      </c>
      <c r="E6" s="10" t="n">
        <v>3455</v>
      </c>
      <c r="F6" s="10" t="n">
        <v>3756</v>
      </c>
      <c r="G6" s="10" t="n">
        <v>3990</v>
      </c>
      <c r="H6" s="11">
        <f>G6*(1+Assumptions!H6)</f>
        <v/>
      </c>
      <c r="I6" s="11">
        <f>H6*(1+Assumptions!I6)</f>
        <v/>
      </c>
      <c r="J6" s="11">
        <f>I6*(1+Assumptions!J6)</f>
        <v/>
      </c>
      <c r="K6" s="11">
        <f>J6*(1+Assumptions!K6)</f>
        <v/>
      </c>
      <c r="L6" s="11">
        <f>K6*(1+Assumptions!L6)</f>
        <v/>
      </c>
    </row>
    <row r="7">
      <c r="A7" t="inlineStr">
        <is>
          <t>Other revenue</t>
        </is>
      </c>
      <c r="B7" t="inlineStr">
        <is>
          <t>A$m</t>
        </is>
      </c>
      <c r="C7" s="10" t="n">
        <v>319</v>
      </c>
      <c r="D7" s="10" t="n">
        <v>311</v>
      </c>
      <c r="E7" s="10" t="n">
        <v>332</v>
      </c>
      <c r="F7" s="10" t="n">
        <v>326</v>
      </c>
      <c r="G7" s="10" t="n">
        <v>360</v>
      </c>
      <c r="H7" s="11">
        <f>G7*(1+Assumptions!H7)</f>
        <v/>
      </c>
      <c r="I7" s="11">
        <f>H7*(1+Assumptions!I7)</f>
        <v/>
      </c>
      <c r="J7" s="11">
        <f>I7*(1+Assumptions!J7)</f>
        <v/>
      </c>
      <c r="K7" s="11">
        <f>J7*(1+Assumptions!K7)</f>
        <v/>
      </c>
      <c r="L7" s="11">
        <f>K7*(1+Assumptions!L7)</f>
        <v/>
      </c>
    </row>
    <row r="8">
      <c r="A8" s="12" t="inlineStr">
        <is>
          <t>Total Revenue</t>
        </is>
      </c>
      <c r="B8" s="12" t="inlineStr">
        <is>
          <t>A$m</t>
        </is>
      </c>
      <c r="C8" s="13" t="n">
        <v>2778</v>
      </c>
      <c r="D8" s="13" t="n">
        <v>3141</v>
      </c>
      <c r="E8" s="13" t="n">
        <v>3787</v>
      </c>
      <c r="F8" s="13" t="n">
        <v>4082</v>
      </c>
      <c r="G8" s="13" t="n">
        <v>4350</v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</row>
    <row r="9">
      <c r="A9" t="inlineStr"/>
      <c r="H9" s="15" t="n"/>
      <c r="I9" s="15" t="n"/>
      <c r="J9" s="15" t="n"/>
      <c r="K9" s="15" t="n"/>
      <c r="L9" s="15" t="n"/>
    </row>
    <row r="10">
      <c r="A10" s="4" t="inlineStr">
        <is>
          <t>Operating Expenses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Employee costs</t>
        </is>
      </c>
      <c r="B11" t="inlineStr">
        <is>
          <t>A$m</t>
        </is>
      </c>
      <c r="C11" s="10" t="n">
        <v>-236</v>
      </c>
      <c r="D11" s="10" t="n">
        <v>-251</v>
      </c>
      <c r="E11" s="10" t="n">
        <v>-280</v>
      </c>
      <c r="F11" s="10" t="n">
        <v>-298</v>
      </c>
      <c r="G11" s="10" t="n">
        <v>-313</v>
      </c>
      <c r="H11" s="11">
        <f>-H8*Assumptions!H10*0.25</f>
        <v/>
      </c>
      <c r="I11" s="11">
        <f>-I8*Assumptions!I10*0.25</f>
        <v/>
      </c>
      <c r="J11" s="11">
        <f>-J8*Assumptions!J10*0.25</f>
        <v/>
      </c>
      <c r="K11" s="11">
        <f>-K8*Assumptions!K10*0.25</f>
        <v/>
      </c>
      <c r="L11" s="11">
        <f>-L8*Assumptions!L10*0.25</f>
        <v/>
      </c>
    </row>
    <row r="12">
      <c r="A12" t="inlineStr">
        <is>
          <t>Road operating costs</t>
        </is>
      </c>
      <c r="B12" t="inlineStr">
        <is>
          <t>A$m</t>
        </is>
      </c>
      <c r="C12" s="10" t="n">
        <v>-340</v>
      </c>
      <c r="D12" s="10" t="n">
        <v>-333</v>
      </c>
      <c r="E12" s="10" t="n">
        <v>-380</v>
      </c>
      <c r="F12" s="10" t="n">
        <v>-395</v>
      </c>
      <c r="G12" s="10" t="n">
        <v>-418</v>
      </c>
      <c r="H12" s="11">
        <f>-H8*Assumptions!H10*0.33</f>
        <v/>
      </c>
      <c r="I12" s="11">
        <f>-I8*Assumptions!I10*0.33</f>
        <v/>
      </c>
      <c r="J12" s="11">
        <f>-J8*Assumptions!J10*0.33</f>
        <v/>
      </c>
      <c r="K12" s="11">
        <f>-K8*Assumptions!K10*0.33</f>
        <v/>
      </c>
      <c r="L12" s="11">
        <f>-L8*Assumptions!L10*0.33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0" t="n">
        <v>-401</v>
      </c>
      <c r="D13" s="10" t="n">
        <v>-436</v>
      </c>
      <c r="E13" s="10" t="n">
        <v>-535</v>
      </c>
      <c r="F13" s="10" t="n">
        <v>-562</v>
      </c>
      <c r="G13" s="10" t="n">
        <v>-608</v>
      </c>
      <c r="H13" s="11">
        <f>-H8*Assumptions!H10-H11-H12</f>
        <v/>
      </c>
      <c r="I13" s="11">
        <f>-I8*Assumptions!I10-I11-I12</f>
        <v/>
      </c>
      <c r="J13" s="11">
        <f>-J8*Assumptions!J10-J11-J12</f>
        <v/>
      </c>
      <c r="K13" s="11">
        <f>-K8*Assumptions!K10-K11-K12</f>
        <v/>
      </c>
      <c r="L13" s="11">
        <f>-L8*Assumptions!L10-L11-L12</f>
        <v/>
      </c>
    </row>
    <row r="14">
      <c r="A14" s="12" t="inlineStr">
        <is>
          <t>Total Operating Expenses</t>
        </is>
      </c>
      <c r="B14" s="12" t="inlineStr">
        <is>
          <t>A$m</t>
        </is>
      </c>
      <c r="C14" s="13" t="n">
        <v>-977</v>
      </c>
      <c r="D14" s="13" t="n">
        <v>-1020</v>
      </c>
      <c r="E14" s="13" t="n">
        <v>-1195</v>
      </c>
      <c r="F14" s="13" t="n">
        <v>-1255</v>
      </c>
      <c r="G14" s="13" t="n">
        <v>-1339</v>
      </c>
      <c r="H14" s="14">
        <f>H11+H12+H13</f>
        <v/>
      </c>
      <c r="I14" s="14">
        <f>I11+I12+I13</f>
        <v/>
      </c>
      <c r="J14" s="14">
        <f>J11+J12+J13</f>
        <v/>
      </c>
      <c r="K14" s="14">
        <f>K11+K12+K13</f>
        <v/>
      </c>
      <c r="L14" s="14">
        <f>L11+L12+L13</f>
        <v/>
      </c>
    </row>
    <row r="15">
      <c r="A15" t="inlineStr"/>
      <c r="H15" s="15" t="n"/>
      <c r="I15" s="15" t="n"/>
      <c r="J15" s="15" t="n"/>
      <c r="K15" s="15" t="n"/>
      <c r="L15" s="15" t="n"/>
    </row>
    <row r="16">
      <c r="A16" s="12" t="inlineStr">
        <is>
          <t>EBITDA</t>
        </is>
      </c>
      <c r="B16" s="12" t="inlineStr">
        <is>
          <t>A$m</t>
        </is>
      </c>
      <c r="C16" s="13" t="n">
        <v>1801</v>
      </c>
      <c r="D16" s="13" t="n">
        <v>2121</v>
      </c>
      <c r="E16" s="13" t="n">
        <v>2592</v>
      </c>
      <c r="F16" s="13" t="n">
        <v>2827</v>
      </c>
      <c r="G16" s="13" t="n">
        <v>3011</v>
      </c>
      <c r="H16" s="14">
        <f>H8+H14</f>
        <v/>
      </c>
      <c r="I16" s="14">
        <f>I8+I14</f>
        <v/>
      </c>
      <c r="J16" s="14">
        <f>J8+J14</f>
        <v/>
      </c>
      <c r="K16" s="14">
        <f>K8+K14</f>
        <v/>
      </c>
      <c r="L16" s="14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0" t="n">
        <v>-856</v>
      </c>
      <c r="D17" s="10" t="n">
        <v>-880</v>
      </c>
      <c r="E17" s="10" t="n">
        <v>-905</v>
      </c>
      <c r="F17" s="10" t="n">
        <v>-930</v>
      </c>
      <c r="G17" s="10" t="n">
        <v>-958</v>
      </c>
      <c r="H17" s="11">
        <f>-'Balance Sheet'!G17*Assumptions!H14</f>
        <v/>
      </c>
      <c r="I17" s="11">
        <f>-'Balance Sheet'!H17*Assumptions!I14</f>
        <v/>
      </c>
      <c r="J17" s="11">
        <f>-'Balance Sheet'!I17*Assumptions!J14</f>
        <v/>
      </c>
      <c r="K17" s="11">
        <f>-'Balance Sheet'!J17*Assumptions!K14</f>
        <v/>
      </c>
      <c r="L17" s="11">
        <f>-'Balance Sheet'!K17*Assumptions!L14</f>
        <v/>
      </c>
    </row>
    <row r="18">
      <c r="A18" s="12" t="inlineStr">
        <is>
          <t>EBIT</t>
        </is>
      </c>
      <c r="B18" s="12" t="inlineStr">
        <is>
          <t>A$m</t>
        </is>
      </c>
      <c r="C18" s="13" t="n">
        <v>945</v>
      </c>
      <c r="D18" s="13" t="n">
        <v>1241</v>
      </c>
      <c r="E18" s="13" t="n">
        <v>1687</v>
      </c>
      <c r="F18" s="13" t="n">
        <v>1897</v>
      </c>
      <c r="G18" s="13" t="n">
        <v>2053</v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</row>
    <row r="19">
      <c r="A19" t="inlineStr"/>
      <c r="H19" s="15" t="n"/>
      <c r="I19" s="15" t="n"/>
      <c r="J19" s="15" t="n"/>
      <c r="K19" s="15" t="n"/>
      <c r="L19" s="15" t="n"/>
    </row>
    <row r="20">
      <c r="A20" t="inlineStr">
        <is>
          <t>Net finance costs</t>
        </is>
      </c>
      <c r="B20" t="inlineStr">
        <is>
          <t>A$m</t>
        </is>
      </c>
      <c r="C20" s="10" t="n">
        <v>-907</v>
      </c>
      <c r="D20" s="10" t="n">
        <v>-821</v>
      </c>
      <c r="E20" s="10" t="n">
        <v>-963</v>
      </c>
      <c r="F20" s="10" t="n">
        <v>-1093</v>
      </c>
      <c r="G20" s="10" t="n">
        <v>-1150</v>
      </c>
      <c r="H20" s="11">
        <f>-'Balance Sheet'!G32*Assumptions!H17</f>
        <v/>
      </c>
      <c r="I20" s="11">
        <f>-'Balance Sheet'!H32*Assumptions!I17</f>
        <v/>
      </c>
      <c r="J20" s="11">
        <f>-'Balance Sheet'!I32*Assumptions!J17</f>
        <v/>
      </c>
      <c r="K20" s="11">
        <f>-'Balance Sheet'!J32*Assumptions!K17</f>
        <v/>
      </c>
      <c r="L20" s="11">
        <f>-'Balance Sheet'!K32*Assumptions!L17</f>
        <v/>
      </c>
    </row>
    <row r="21">
      <c r="A21" s="12" t="inlineStr">
        <is>
          <t>Profit / (Loss) before tax</t>
        </is>
      </c>
      <c r="B21" s="12" t="inlineStr">
        <is>
          <t>A$m</t>
        </is>
      </c>
      <c r="C21" s="13" t="n">
        <v>38</v>
      </c>
      <c r="D21" s="13" t="n">
        <v>420</v>
      </c>
      <c r="E21" s="13" t="n">
        <v>724</v>
      </c>
      <c r="F21" s="13" t="n">
        <v>804</v>
      </c>
      <c r="G21" s="13" t="n">
        <v>903</v>
      </c>
      <c r="H21" s="14">
        <f>H18+H20</f>
        <v/>
      </c>
      <c r="I21" s="14">
        <f>I18+I20</f>
        <v/>
      </c>
      <c r="J21" s="14">
        <f>J18+J20</f>
        <v/>
      </c>
      <c r="K21" s="14">
        <f>K18+K20</f>
        <v/>
      </c>
      <c r="L21" s="14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0" t="n">
        <v>7</v>
      </c>
      <c r="D22" s="10" t="n">
        <v>-141</v>
      </c>
      <c r="E22" s="10" t="n">
        <v>-270</v>
      </c>
      <c r="F22" s="10" t="n">
        <v>-249</v>
      </c>
      <c r="G22" s="10" t="n">
        <v>-282</v>
      </c>
      <c r="H22" s="11">
        <f>-H21*Assumptions!H18</f>
        <v/>
      </c>
      <c r="I22" s="11">
        <f>-I21*Assumptions!I18</f>
        <v/>
      </c>
      <c r="J22" s="11">
        <f>-J21*Assumptions!J18</f>
        <v/>
      </c>
      <c r="K22" s="11">
        <f>-K21*Assumptions!K18</f>
        <v/>
      </c>
      <c r="L22" s="11">
        <f>-L21*Assumptions!L18</f>
        <v/>
      </c>
    </row>
    <row r="23">
      <c r="A23" s="12" t="inlineStr">
        <is>
          <t>Net Profit / (Loss) After Tax</t>
        </is>
      </c>
      <c r="B23" s="12" t="inlineStr">
        <is>
          <t>A$m</t>
        </is>
      </c>
      <c r="C23" s="13" t="n">
        <v>45</v>
      </c>
      <c r="D23" s="13" t="n">
        <v>279</v>
      </c>
      <c r="E23" s="13" t="n">
        <v>454</v>
      </c>
      <c r="F23" s="13" t="n">
        <v>555</v>
      </c>
      <c r="G23" s="13" t="n">
        <v>621</v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3" t="inlineStr">
        <is>
          <t>Balance Sheet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ASSETS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inlineStr">
        <is>
          <t>Current Assets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Cash &amp; cash equivalents</t>
        </is>
      </c>
      <c r="B7" t="inlineStr">
        <is>
          <t>A$m</t>
        </is>
      </c>
      <c r="C7" s="10" t="n">
        <v>2548</v>
      </c>
      <c r="D7" s="10" t="n">
        <v>3145</v>
      </c>
      <c r="E7" s="10" t="n">
        <v>2780</v>
      </c>
      <c r="F7" s="10" t="n">
        <v>2350</v>
      </c>
      <c r="G7" s="10" t="n">
        <v>2520</v>
      </c>
      <c r="H7" s="11">
        <f>'Cash Flow Statement'!H26</f>
        <v/>
      </c>
      <c r="I7" s="11">
        <f>'Cash Flow Statement'!I26</f>
        <v/>
      </c>
      <c r="J7" s="11">
        <f>'Cash Flow Statement'!J26</f>
        <v/>
      </c>
      <c r="K7" s="11">
        <f>'Cash Flow Statement'!K26</f>
        <v/>
      </c>
      <c r="L7" s="11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0" t="n">
        <v>213</v>
      </c>
      <c r="D8" s="10" t="n">
        <v>224</v>
      </c>
      <c r="E8" s="10" t="n">
        <v>260</v>
      </c>
      <c r="F8" s="10" t="n">
        <v>269</v>
      </c>
      <c r="G8" s="10" t="n">
        <v>286</v>
      </c>
      <c r="H8" s="11">
        <f>'Income Statement'!H8/365*Assumptions!H22</f>
        <v/>
      </c>
      <c r="I8" s="11">
        <f>'Income Statement'!I8/365*Assumptions!I22</f>
        <v/>
      </c>
      <c r="J8" s="11">
        <f>'Income Statement'!J8/365*Assumptions!J22</f>
        <v/>
      </c>
      <c r="K8" s="11">
        <f>'Income Statement'!K8/365*Assumptions!K22</f>
        <v/>
      </c>
      <c r="L8" s="11">
        <f>'Income Statement'!L8/365*Assumptions!L22</f>
        <v/>
      </c>
    </row>
    <row r="9">
      <c r="A9" t="inlineStr">
        <is>
          <t>Other current assets</t>
        </is>
      </c>
      <c r="B9" t="inlineStr">
        <is>
          <t>A$m</t>
        </is>
      </c>
      <c r="C9" s="10" t="n">
        <v>195</v>
      </c>
      <c r="D9" s="10" t="n">
        <v>210</v>
      </c>
      <c r="E9" s="10" t="n">
        <v>225</v>
      </c>
      <c r="F9" s="10" t="n">
        <v>230</v>
      </c>
      <c r="G9" s="10" t="n">
        <v>240</v>
      </c>
      <c r="H9" s="11">
        <f>G9*1.03</f>
        <v/>
      </c>
      <c r="I9" s="11">
        <f>H9*1.03</f>
        <v/>
      </c>
      <c r="J9" s="11">
        <f>I9*1.03</f>
        <v/>
      </c>
      <c r="K9" s="11">
        <f>J9*1.03</f>
        <v/>
      </c>
      <c r="L9" s="11">
        <f>K9*1.03</f>
        <v/>
      </c>
    </row>
    <row r="10">
      <c r="A10" s="12" t="inlineStr">
        <is>
          <t>Total Current Assets</t>
        </is>
      </c>
      <c r="B10" s="12" t="inlineStr">
        <is>
          <t>A$m</t>
        </is>
      </c>
      <c r="C10" s="13" t="n">
        <v>2956</v>
      </c>
      <c r="D10" s="13" t="n">
        <v>3579</v>
      </c>
      <c r="E10" s="13" t="n">
        <v>3265</v>
      </c>
      <c r="F10" s="13" t="n">
        <v>2849</v>
      </c>
      <c r="G10" s="13" t="n">
        <v>3046</v>
      </c>
      <c r="H10" s="14">
        <f>H7+H8+H9</f>
        <v/>
      </c>
      <c r="I10" s="14">
        <f>I7+I8+I9</f>
        <v/>
      </c>
      <c r="J10" s="14">
        <f>J7+J8+J9</f>
        <v/>
      </c>
      <c r="K10" s="14">
        <f>K7+K8+K9</f>
        <v/>
      </c>
      <c r="L10" s="14">
        <f>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Non-Current Assets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Property, plant &amp; equipment</t>
        </is>
      </c>
      <c r="B13" t="inlineStr">
        <is>
          <t>A$m</t>
        </is>
      </c>
      <c r="C13" s="10" t="n">
        <v>6125</v>
      </c>
      <c r="D13" s="10" t="n">
        <v>6850</v>
      </c>
      <c r="E13" s="10" t="n">
        <v>7900</v>
      </c>
      <c r="F13" s="10" t="n">
        <v>8100</v>
      </c>
      <c r="G13" s="10" t="n">
        <v>8050</v>
      </c>
      <c r="H13" s="11">
        <f>G13+Assumptions!H21+'Income Statement'!H17*0.40</f>
        <v/>
      </c>
      <c r="I13" s="11">
        <f>H13+Assumptions!I21+'Income Statement'!I17*0.40</f>
        <v/>
      </c>
      <c r="J13" s="11">
        <f>I13+Assumptions!J21+'Income Statement'!J17*0.40</f>
        <v/>
      </c>
      <c r="K13" s="11">
        <f>J13+Assumptions!K21+'Income Statement'!K17*0.40</f>
        <v/>
      </c>
      <c r="L13" s="11">
        <f>K13+Assumptions!L21+'Income Statement'!L17*0.40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0" t="n">
        <v>22450</v>
      </c>
      <c r="D14" s="10" t="n">
        <v>23100</v>
      </c>
      <c r="E14" s="10" t="n">
        <v>24200</v>
      </c>
      <c r="F14" s="10" t="n">
        <v>24650</v>
      </c>
      <c r="G14" s="10" t="n">
        <v>24800</v>
      </c>
      <c r="H14" s="11">
        <f>G14+'Income Statement'!H17*0.60</f>
        <v/>
      </c>
      <c r="I14" s="11">
        <f>H14+'Income Statement'!I17*0.60</f>
        <v/>
      </c>
      <c r="J14" s="11">
        <f>I14+'Income Statement'!J17*0.60</f>
        <v/>
      </c>
      <c r="K14" s="11">
        <f>J14+'Income Statement'!K17*0.60</f>
        <v/>
      </c>
      <c r="L14" s="11">
        <f>K14+'Income Statement'!L17*0.60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0" t="n">
        <v>1820</v>
      </c>
      <c r="D15" s="10" t="n">
        <v>1750</v>
      </c>
      <c r="E15" s="10" t="n">
        <v>1680</v>
      </c>
      <c r="F15" s="10" t="n">
        <v>1620</v>
      </c>
      <c r="G15" s="10" t="n">
        <v>1580</v>
      </c>
      <c r="H15" s="11">
        <f>G15*0.98</f>
        <v/>
      </c>
      <c r="I15" s="11">
        <f>H15*0.98</f>
        <v/>
      </c>
      <c r="J15" s="11">
        <f>I15*0.98</f>
        <v/>
      </c>
      <c r="K15" s="11">
        <f>J15*0.98</f>
        <v/>
      </c>
      <c r="L15" s="11">
        <f>K15*0.98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0" t="n">
        <v>1250</v>
      </c>
      <c r="D16" s="10" t="n">
        <v>1380</v>
      </c>
      <c r="E16" s="10" t="n">
        <v>1520</v>
      </c>
      <c r="F16" s="10" t="n">
        <v>1580</v>
      </c>
      <c r="G16" s="10" t="n">
        <v>1620</v>
      </c>
      <c r="H16" s="11">
        <f>G16*1.02</f>
        <v/>
      </c>
      <c r="I16" s="11">
        <f>H16*1.02</f>
        <v/>
      </c>
      <c r="J16" s="11">
        <f>I16*1.02</f>
        <v/>
      </c>
      <c r="K16" s="11">
        <f>J16*1.02</f>
        <v/>
      </c>
      <c r="L16" s="11">
        <f>K16*1.02</f>
        <v/>
      </c>
    </row>
    <row r="17">
      <c r="A17" s="12" t="inlineStr">
        <is>
          <t>Total Non-Current Assets</t>
        </is>
      </c>
      <c r="B17" s="12" t="inlineStr">
        <is>
          <t>A$m</t>
        </is>
      </c>
      <c r="C17" s="13" t="n">
        <v>31645</v>
      </c>
      <c r="D17" s="13" t="n">
        <v>33080</v>
      </c>
      <c r="E17" s="13" t="n">
        <v>35300</v>
      </c>
      <c r="F17" s="13" t="n">
        <v>35950</v>
      </c>
      <c r="G17" s="13" t="n">
        <v>36050</v>
      </c>
      <c r="H17" s="14">
        <f>H13+H14+H15+H16</f>
        <v/>
      </c>
      <c r="I17" s="14">
        <f>I13+I14+I15+I16</f>
        <v/>
      </c>
      <c r="J17" s="14">
        <f>J13+J14+J15+J16</f>
        <v/>
      </c>
      <c r="K17" s="14">
        <f>K13+K14+K15+K16</f>
        <v/>
      </c>
      <c r="L17" s="14">
        <f>L13+L14+L15+L16</f>
        <v/>
      </c>
    </row>
    <row r="18">
      <c r="A18" t="inlineStr"/>
      <c r="H18" s="15" t="n"/>
      <c r="I18" s="15" t="n"/>
      <c r="J18" s="15" t="n"/>
      <c r="K18" s="15" t="n"/>
      <c r="L18" s="15" t="n"/>
    </row>
    <row r="19">
      <c r="A19" s="12" t="inlineStr">
        <is>
          <t>Total Assets</t>
        </is>
      </c>
      <c r="B19" s="12" t="inlineStr">
        <is>
          <t>A$m</t>
        </is>
      </c>
      <c r="C19" s="13" t="n">
        <v>34601</v>
      </c>
      <c r="D19" s="13" t="n">
        <v>36659</v>
      </c>
      <c r="E19" s="13" t="n">
        <v>38565</v>
      </c>
      <c r="F19" s="13" t="n">
        <v>38799</v>
      </c>
      <c r="G19" s="13" t="n">
        <v>39096</v>
      </c>
      <c r="H19" s="14">
        <f>H10+H17</f>
        <v/>
      </c>
      <c r="I19" s="14">
        <f>I10+I17</f>
        <v/>
      </c>
      <c r="J19" s="14">
        <f>J10+J17</f>
        <v/>
      </c>
      <c r="K19" s="14">
        <f>K10+K17</f>
        <v/>
      </c>
      <c r="L19" s="14">
        <f>L10+L17</f>
        <v/>
      </c>
    </row>
    <row r="20">
      <c r="A20" t="inlineStr"/>
      <c r="H20" s="15" t="n"/>
      <c r="I20" s="15" t="n"/>
      <c r="J20" s="15" t="n"/>
      <c r="K20" s="15" t="n"/>
      <c r="L20" s="15" t="n"/>
    </row>
    <row r="21">
      <c r="A21" s="4" t="inlineStr">
        <is>
          <t>LIABILITIES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inlineStr">
        <is>
          <t>Current Liabilities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Trade &amp; other payables</t>
        </is>
      </c>
      <c r="B23" t="inlineStr">
        <is>
          <t>A$m</t>
        </is>
      </c>
      <c r="C23" s="10" t="n">
        <v>485</v>
      </c>
      <c r="D23" s="10" t="n">
        <v>510</v>
      </c>
      <c r="E23" s="10" t="n">
        <v>555</v>
      </c>
      <c r="F23" s="10" t="n">
        <v>530</v>
      </c>
      <c r="G23" s="10" t="n">
        <v>550</v>
      </c>
      <c r="H23" s="11">
        <f>-'Income Statement'!H14/365*Assumptions!H23</f>
        <v/>
      </c>
      <c r="I23" s="11">
        <f>-'Income Statement'!I14/365*Assumptions!I23</f>
        <v/>
      </c>
      <c r="J23" s="11">
        <f>-'Income Statement'!J14/365*Assumptions!J23</f>
        <v/>
      </c>
      <c r="K23" s="11">
        <f>-'Income Statement'!K14/365*Assumptions!K23</f>
        <v/>
      </c>
      <c r="L23" s="11">
        <f>-'Income Statement'!L14/365*Assumptions!L23</f>
        <v/>
      </c>
    </row>
    <row r="24">
      <c r="A24" t="inlineStr">
        <is>
          <t>Current borrowings</t>
        </is>
      </c>
      <c r="B24" t="inlineStr">
        <is>
          <t>A$m</t>
        </is>
      </c>
      <c r="C24" s="10" t="n">
        <v>1250</v>
      </c>
      <c r="D24" s="10" t="n">
        <v>1400</v>
      </c>
      <c r="E24" s="10" t="n">
        <v>1600</v>
      </c>
      <c r="F24" s="10" t="n">
        <v>1300</v>
      </c>
      <c r="G24" s="10" t="n">
        <v>1200</v>
      </c>
      <c r="H24" s="11">
        <f>(G32+Assumptions!H28)*0.05</f>
        <v/>
      </c>
      <c r="I24" s="11">
        <f>(H32+Assumptions!I28)*0.05</f>
        <v/>
      </c>
      <c r="J24" s="11">
        <f>(I32+Assumptions!J28)*0.05</f>
        <v/>
      </c>
      <c r="K24" s="11">
        <f>(J32+Assumptions!K28)*0.05</f>
        <v/>
      </c>
      <c r="L24" s="11">
        <f>(K32+Assumptions!L28)*0.05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0" t="n">
        <v>580</v>
      </c>
      <c r="D25" s="10" t="n">
        <v>620</v>
      </c>
      <c r="E25" s="10" t="n">
        <v>680</v>
      </c>
      <c r="F25" s="10" t="n">
        <v>710</v>
      </c>
      <c r="G25" s="10" t="n">
        <v>740</v>
      </c>
      <c r="H25" s="11">
        <f>G25*1.03</f>
        <v/>
      </c>
      <c r="I25" s="11">
        <f>H25*1.03</f>
        <v/>
      </c>
      <c r="J25" s="11">
        <f>I25*1.03</f>
        <v/>
      </c>
      <c r="K25" s="11">
        <f>J25*1.03</f>
        <v/>
      </c>
      <c r="L25" s="11">
        <f>K25*1.03</f>
        <v/>
      </c>
    </row>
    <row r="26">
      <c r="A26" s="12" t="inlineStr">
        <is>
          <t>Total Current Liabilities</t>
        </is>
      </c>
      <c r="B26" s="12" t="inlineStr">
        <is>
          <t>A$m</t>
        </is>
      </c>
      <c r="C26" s="13" t="n">
        <v>2315</v>
      </c>
      <c r="D26" s="13" t="n">
        <v>2530</v>
      </c>
      <c r="E26" s="13" t="n">
        <v>2835</v>
      </c>
      <c r="F26" s="13" t="n">
        <v>2540</v>
      </c>
      <c r="G26" s="13" t="n">
        <v>2490</v>
      </c>
      <c r="H26" s="14">
        <f>H23+H24+H25</f>
        <v/>
      </c>
      <c r="I26" s="14">
        <f>I23+I24+I25</f>
        <v/>
      </c>
      <c r="J26" s="14">
        <f>J23+J24+J25</f>
        <v/>
      </c>
      <c r="K26" s="14">
        <f>K23+K24+K25</f>
        <v/>
      </c>
      <c r="L26" s="14">
        <f>L23+L24+L25</f>
        <v/>
      </c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Non-Current Liabilities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Non-current borrowings</t>
        </is>
      </c>
      <c r="B29" t="inlineStr">
        <is>
          <t>A$m</t>
        </is>
      </c>
      <c r="C29" s="10" t="n">
        <v>19580</v>
      </c>
      <c r="D29" s="10" t="n">
        <v>21230</v>
      </c>
      <c r="E29" s="10" t="n">
        <v>23430</v>
      </c>
      <c r="F29" s="10" t="n">
        <v>23730</v>
      </c>
      <c r="G29" s="10" t="n">
        <v>23830</v>
      </c>
      <c r="H29" s="11">
        <f>G32+Assumptions!H28-H24</f>
        <v/>
      </c>
      <c r="I29" s="11">
        <f>H32+Assumptions!I28-I24</f>
        <v/>
      </c>
      <c r="J29" s="11">
        <f>I32+Assumptions!J28-J24</f>
        <v/>
      </c>
      <c r="K29" s="11">
        <f>J32+Assumptions!K28-K24</f>
        <v/>
      </c>
      <c r="L29" s="11">
        <f>K32+Assumptions!L28-L24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0" t="n">
        <v>2350</v>
      </c>
      <c r="D30" s="10" t="n">
        <v>2480</v>
      </c>
      <c r="E30" s="10" t="n">
        <v>2620</v>
      </c>
      <c r="F30" s="10" t="n">
        <v>2700</v>
      </c>
      <c r="G30" s="10" t="n">
        <v>2780</v>
      </c>
      <c r="H30" s="11">
        <f>G30*1.02</f>
        <v/>
      </c>
      <c r="I30" s="11">
        <f>H30*1.02</f>
        <v/>
      </c>
      <c r="J30" s="11">
        <f>I30*1.02</f>
        <v/>
      </c>
      <c r="K30" s="11">
        <f>J30*1.02</f>
        <v/>
      </c>
      <c r="L30" s="11">
        <f>K30*1.02</f>
        <v/>
      </c>
    </row>
    <row r="31">
      <c r="A31" s="12" t="inlineStr">
        <is>
          <t>Total Non-Current Liabilities</t>
        </is>
      </c>
      <c r="B31" s="12" t="inlineStr">
        <is>
          <t>A$m</t>
        </is>
      </c>
      <c r="C31" s="13" t="n">
        <v>21930</v>
      </c>
      <c r="D31" s="13" t="n">
        <v>23710</v>
      </c>
      <c r="E31" s="13" t="n">
        <v>26050</v>
      </c>
      <c r="F31" s="13" t="n">
        <v>26430</v>
      </c>
      <c r="G31" s="13" t="n">
        <v>26610</v>
      </c>
      <c r="H31" s="14">
        <f>H29+H30</f>
        <v/>
      </c>
      <c r="I31" s="14">
        <f>I29+I30</f>
        <v/>
      </c>
      <c r="J31" s="14">
        <f>J29+J30</f>
        <v/>
      </c>
      <c r="K31" s="14">
        <f>K29+K30</f>
        <v/>
      </c>
      <c r="L31" s="14">
        <f>L29+L30</f>
        <v/>
      </c>
    </row>
    <row r="32">
      <c r="A32" s="12" t="inlineStr">
        <is>
          <t>Total Borrowings (current + non-current)</t>
        </is>
      </c>
      <c r="B32" s="12" t="inlineStr">
        <is>
          <t>A$m</t>
        </is>
      </c>
      <c r="C32" s="13" t="n">
        <v>20830</v>
      </c>
      <c r="D32" s="13" t="n">
        <v>22630</v>
      </c>
      <c r="E32" s="13" t="n">
        <v>25030</v>
      </c>
      <c r="F32" s="13" t="n">
        <v>25030</v>
      </c>
      <c r="G32" s="13" t="n">
        <v>25030</v>
      </c>
      <c r="H32" s="14">
        <f>H24+H29</f>
        <v/>
      </c>
      <c r="I32" s="14">
        <f>I24+I29</f>
        <v/>
      </c>
      <c r="J32" s="14">
        <f>J24+J29</f>
        <v/>
      </c>
      <c r="K32" s="14">
        <f>K24+K29</f>
        <v/>
      </c>
      <c r="L32" s="14">
        <f>L24+L29</f>
        <v/>
      </c>
    </row>
    <row r="33">
      <c r="A33" t="inlineStr"/>
      <c r="H33" s="15" t="n"/>
      <c r="I33" s="15" t="n"/>
      <c r="J33" s="15" t="n"/>
      <c r="K33" s="15" t="n"/>
      <c r="L33" s="15" t="n"/>
    </row>
    <row r="34">
      <c r="A34" s="12" t="inlineStr">
        <is>
          <t>Total Liabilities</t>
        </is>
      </c>
      <c r="B34" s="12" t="inlineStr">
        <is>
          <t>A$m</t>
        </is>
      </c>
      <c r="C34" s="13" t="n">
        <v>24245</v>
      </c>
      <c r="D34" s="13" t="n">
        <v>26240</v>
      </c>
      <c r="E34" s="13" t="n">
        <v>28885</v>
      </c>
      <c r="F34" s="13" t="n">
        <v>28970</v>
      </c>
      <c r="G34" s="13" t="n">
        <v>29100</v>
      </c>
      <c r="H34" s="14">
        <f>H26+H31</f>
        <v/>
      </c>
      <c r="I34" s="14">
        <f>I26+I31</f>
        <v/>
      </c>
      <c r="J34" s="14">
        <f>J26+J31</f>
        <v/>
      </c>
      <c r="K34" s="14">
        <f>K26+K31</f>
        <v/>
      </c>
      <c r="L34" s="14">
        <f>L26+L31</f>
        <v/>
      </c>
    </row>
    <row r="35">
      <c r="A35" t="inlineStr"/>
      <c r="H35" s="15" t="n"/>
      <c r="I35" s="15" t="n"/>
      <c r="J35" s="15" t="n"/>
      <c r="K35" s="15" t="n"/>
      <c r="L35" s="15" t="n"/>
    </row>
    <row r="36">
      <c r="A36" s="4" t="inlineStr">
        <is>
          <t>EQUITY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Share capital</t>
        </is>
      </c>
      <c r="B37" t="inlineStr">
        <is>
          <t>A$m</t>
        </is>
      </c>
      <c r="C37" s="10" t="n">
        <v>13845</v>
      </c>
      <c r="D37" s="10" t="n">
        <v>14250</v>
      </c>
      <c r="E37" s="10" t="n">
        <v>14680</v>
      </c>
      <c r="F37" s="10" t="n">
        <v>15020</v>
      </c>
      <c r="G37" s="10" t="n">
        <v>15310</v>
      </c>
      <c r="H37" s="11">
        <f>G37*(1+0.01)</f>
        <v/>
      </c>
      <c r="I37" s="11">
        <f>H37*(1+0.01)</f>
        <v/>
      </c>
      <c r="J37" s="11">
        <f>I37*(1+0.01)</f>
        <v/>
      </c>
      <c r="K37" s="11">
        <f>J37*(1+0.01)</f>
        <v/>
      </c>
      <c r="L37" s="11">
        <f>K37*(1+0.01)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0" t="n">
        <v>-3847</v>
      </c>
      <c r="D38" s="10" t="n">
        <v>-4211</v>
      </c>
      <c r="E38" s="10" t="n">
        <v>-5380</v>
      </c>
      <c r="F38" s="10" t="n">
        <v>-5591</v>
      </c>
      <c r="G38" s="10" t="n">
        <v>-5726</v>
      </c>
      <c r="H38" s="11">
        <f>G38+'Income Statement'!H23-Assumptions!H26*Assumptions!H27/100</f>
        <v/>
      </c>
      <c r="I38" s="11">
        <f>H38+'Income Statement'!I23-Assumptions!I26*Assumptions!I27/100</f>
        <v/>
      </c>
      <c r="J38" s="11">
        <f>I38+'Income Statement'!J23-Assumptions!J26*Assumptions!J27/100</f>
        <v/>
      </c>
      <c r="K38" s="11">
        <f>J38+'Income Statement'!K23-Assumptions!K26*Assumptions!K27/100</f>
        <v/>
      </c>
      <c r="L38" s="11">
        <f>K38+'Income Statement'!L23-Assumptions!L26*Assumptions!L27/100</f>
        <v/>
      </c>
    </row>
    <row r="39">
      <c r="A39" t="inlineStr">
        <is>
          <t>Reserves</t>
        </is>
      </c>
      <c r="B39" t="inlineStr">
        <is>
          <t>A$m</t>
        </is>
      </c>
      <c r="C39" s="10" t="n">
        <v>358</v>
      </c>
      <c r="D39" s="10" t="n">
        <v>380</v>
      </c>
      <c r="E39" s="10" t="n">
        <v>380</v>
      </c>
      <c r="F39" s="10" t="n">
        <v>400</v>
      </c>
      <c r="G39" s="10" t="n">
        <v>412</v>
      </c>
      <c r="H39" s="11">
        <f>G39</f>
        <v/>
      </c>
      <c r="I39" s="11">
        <f>H39</f>
        <v/>
      </c>
      <c r="J39" s="11">
        <f>I39</f>
        <v/>
      </c>
      <c r="K39" s="11">
        <f>J39</f>
        <v/>
      </c>
      <c r="L39" s="11">
        <f>K39</f>
        <v/>
      </c>
    </row>
    <row r="40">
      <c r="A40" s="12" t="inlineStr">
        <is>
          <t>Total Equity</t>
        </is>
      </c>
      <c r="B40" s="12" t="inlineStr">
        <is>
          <t>A$m</t>
        </is>
      </c>
      <c r="C40" s="13" t="n">
        <v>10356</v>
      </c>
      <c r="D40" s="13" t="n">
        <v>10419</v>
      </c>
      <c r="E40" s="13" t="n">
        <v>9680</v>
      </c>
      <c r="F40" s="13" t="n">
        <v>9829</v>
      </c>
      <c r="G40" s="13" t="n">
        <v>9996</v>
      </c>
      <c r="H40" s="14">
        <f>H37+H38+H39</f>
        <v/>
      </c>
      <c r="I40" s="14">
        <f>I37+I38+I39</f>
        <v/>
      </c>
      <c r="J40" s="14">
        <f>J37+J38+J39</f>
        <v/>
      </c>
      <c r="K40" s="14">
        <f>K37+K38+K39</f>
        <v/>
      </c>
      <c r="L40" s="14">
        <f>L37+L38+L39</f>
        <v/>
      </c>
    </row>
    <row r="41">
      <c r="A41" t="inlineStr"/>
      <c r="H41" s="15" t="n"/>
      <c r="I41" s="15" t="n"/>
      <c r="J41" s="15" t="n"/>
      <c r="K41" s="15" t="n"/>
      <c r="L41" s="15" t="n"/>
    </row>
    <row r="42">
      <c r="A42" s="12" t="inlineStr">
        <is>
          <t>Total Liabilities &amp; Equity</t>
        </is>
      </c>
      <c r="B42" s="12" t="inlineStr">
        <is>
          <t>A$m</t>
        </is>
      </c>
      <c r="C42" s="13" t="n">
        <v>34601</v>
      </c>
      <c r="D42" s="13" t="n">
        <v>36659</v>
      </c>
      <c r="E42" s="13" t="n">
        <v>38565</v>
      </c>
      <c r="F42" s="13" t="n">
        <v>38799</v>
      </c>
      <c r="G42" s="13" t="n">
        <v>39096</v>
      </c>
      <c r="H42" s="14">
        <f>H34+H40</f>
        <v/>
      </c>
      <c r="I42" s="14">
        <f>I34+I40</f>
        <v/>
      </c>
      <c r="J42" s="14">
        <f>J34+J40</f>
        <v/>
      </c>
      <c r="K42" s="14">
        <f>K34+K40</f>
        <v/>
      </c>
      <c r="L42" s="14">
        <f>L34+L40</f>
        <v/>
      </c>
    </row>
    <row r="43">
      <c r="A43" t="inlineStr"/>
      <c r="H43" s="15" t="n"/>
      <c r="I43" s="15" t="n"/>
      <c r="J43" s="15" t="n"/>
      <c r="K43" s="15" t="n"/>
      <c r="L43" s="15" t="n"/>
    </row>
    <row r="44">
      <c r="A44" s="16" t="inlineStr">
        <is>
          <t>Balance Sheet Check (Assets - L&amp;E)</t>
        </is>
      </c>
      <c r="B44" s="16" t="inlineStr">
        <is>
          <t>A$m</t>
        </is>
      </c>
      <c r="C44" s="17">
        <f>C19-C42</f>
        <v/>
      </c>
      <c r="D44" s="17">
        <f>D19-D42</f>
        <v/>
      </c>
      <c r="E44" s="17">
        <f>E19-E42</f>
        <v/>
      </c>
      <c r="F44" s="17">
        <f>F19-F42</f>
        <v/>
      </c>
      <c r="G44" s="17">
        <f>G19-G42</f>
        <v/>
      </c>
      <c r="H44" s="18">
        <f>H19-H42</f>
        <v/>
      </c>
      <c r="I44" s="18">
        <f>I19-I42</f>
        <v/>
      </c>
      <c r="J44" s="18">
        <f>J19-J42</f>
        <v/>
      </c>
      <c r="K44" s="18">
        <f>K19-K42</f>
        <v/>
      </c>
      <c r="L44" s="18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Cash Flow Statement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OPERATING ACTIVITIES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Net profit / (loss) after tax</t>
        </is>
      </c>
      <c r="B6" t="inlineStr">
        <is>
          <t>A$m</t>
        </is>
      </c>
      <c r="C6" s="10" t="n">
        <v>45</v>
      </c>
      <c r="D6" s="10" t="n">
        <v>279</v>
      </c>
      <c r="E6" s="10" t="n">
        <v>454</v>
      </c>
      <c r="F6" s="10" t="n">
        <v>555</v>
      </c>
      <c r="G6" s="10" t="n">
        <v>621</v>
      </c>
      <c r="H6" s="11">
        <f>'Income Statement'!H23</f>
        <v/>
      </c>
      <c r="I6" s="11">
        <f>'Income Statement'!I23</f>
        <v/>
      </c>
      <c r="J6" s="11">
        <f>'Income Statement'!J23</f>
        <v/>
      </c>
      <c r="K6" s="11">
        <f>'Income Statement'!K23</f>
        <v/>
      </c>
      <c r="L6" s="11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0" t="n">
        <v>856</v>
      </c>
      <c r="D7" s="10" t="n">
        <v>880</v>
      </c>
      <c r="E7" s="10" t="n">
        <v>905</v>
      </c>
      <c r="F7" s="10" t="n">
        <v>930</v>
      </c>
      <c r="G7" s="10" t="n">
        <v>958</v>
      </c>
      <c r="H7" s="11">
        <f>-'Income Statement'!H17</f>
        <v/>
      </c>
      <c r="I7" s="11">
        <f>-'Income Statement'!I17</f>
        <v/>
      </c>
      <c r="J7" s="11">
        <f>-'Income Statement'!J17</f>
        <v/>
      </c>
      <c r="K7" s="11">
        <f>-'Income Statement'!K17</f>
        <v/>
      </c>
      <c r="L7" s="11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0" t="n">
        <v>-45</v>
      </c>
      <c r="D8" s="10" t="n">
        <v>30</v>
      </c>
      <c r="E8" s="10" t="n">
        <v>-60</v>
      </c>
      <c r="F8" s="10" t="n">
        <v>25</v>
      </c>
      <c r="G8" s="10" t="n">
        <v>-15</v>
      </c>
      <c r="H8" s="11">
        <f>-('Balance Sheet'!H8-'Balance Sheet'!G8)+('Balance Sheet'!H23-'Balance Sheet'!G23)</f>
        <v/>
      </c>
      <c r="I8" s="11">
        <f>-('Balance Sheet'!I8-'Balance Sheet'!H8)+('Balance Sheet'!I23-'Balance Sheet'!H23)</f>
        <v/>
      </c>
      <c r="J8" s="11">
        <f>-('Balance Sheet'!J8-'Balance Sheet'!I8)+('Balance Sheet'!J23-'Balance Sheet'!I23)</f>
        <v/>
      </c>
      <c r="K8" s="11">
        <f>-('Balance Sheet'!K8-'Balance Sheet'!J8)+('Balance Sheet'!K23-'Balance Sheet'!J23)</f>
        <v/>
      </c>
      <c r="L8" s="11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0" t="n">
        <v>120</v>
      </c>
      <c r="D9" s="10" t="n">
        <v>135</v>
      </c>
      <c r="E9" s="10" t="n">
        <v>150</v>
      </c>
      <c r="F9" s="10" t="n">
        <v>160</v>
      </c>
      <c r="G9" s="10" t="n">
        <v>170</v>
      </c>
      <c r="H9" s="11">
        <f>G9*1.02</f>
        <v/>
      </c>
      <c r="I9" s="11">
        <f>H9*1.02</f>
        <v/>
      </c>
      <c r="J9" s="11">
        <f>I9*1.02</f>
        <v/>
      </c>
      <c r="K9" s="11">
        <f>J9*1.02</f>
        <v/>
      </c>
      <c r="L9" s="11">
        <f>K9*1.02</f>
        <v/>
      </c>
    </row>
    <row r="10">
      <c r="A10" s="12" t="inlineStr">
        <is>
          <t>Net Cash from Operating Activities</t>
        </is>
      </c>
      <c r="B10" s="12" t="inlineStr">
        <is>
          <t>A$m</t>
        </is>
      </c>
      <c r="C10" s="13" t="n">
        <v>976</v>
      </c>
      <c r="D10" s="13" t="n">
        <v>1324</v>
      </c>
      <c r="E10" s="13" t="n">
        <v>1449</v>
      </c>
      <c r="F10" s="13" t="n">
        <v>1670</v>
      </c>
      <c r="G10" s="13" t="n">
        <v>1734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INVESTING ACTIVITIES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Capital expenditure</t>
        </is>
      </c>
      <c r="B13" t="inlineStr">
        <is>
          <t>A$m</t>
        </is>
      </c>
      <c r="C13" s="10" t="n">
        <v>-628</v>
      </c>
      <c r="D13" s="10" t="n">
        <v>-1092</v>
      </c>
      <c r="E13" s="10" t="n">
        <v>-1805</v>
      </c>
      <c r="F13" s="10" t="n">
        <v>-1420</v>
      </c>
      <c r="G13" s="10" t="n">
        <v>-1200</v>
      </c>
      <c r="H13" s="11">
        <f>-Assumptions!H21</f>
        <v/>
      </c>
      <c r="I13" s="11">
        <f>-Assumptions!I21</f>
        <v/>
      </c>
      <c r="J13" s="11">
        <f>-Assumptions!J21</f>
        <v/>
      </c>
      <c r="K13" s="11">
        <f>-Assumptions!K21</f>
        <v/>
      </c>
      <c r="L13" s="11">
        <f>-Assumptions!L21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0" t="n">
        <v>-150</v>
      </c>
      <c r="D14" s="10" t="n">
        <v>-80</v>
      </c>
      <c r="E14" s="10" t="n">
        <v>-120</v>
      </c>
      <c r="F14" s="10" t="n">
        <v>-100</v>
      </c>
      <c r="G14" s="10" t="n">
        <v>-90</v>
      </c>
      <c r="H14" s="11">
        <f>G14</f>
        <v/>
      </c>
      <c r="I14" s="11">
        <f>H14</f>
        <v/>
      </c>
      <c r="J14" s="11">
        <f>I14</f>
        <v/>
      </c>
      <c r="K14" s="11">
        <f>J14</f>
        <v/>
      </c>
      <c r="L14" s="11">
        <f>K14</f>
        <v/>
      </c>
    </row>
    <row r="15">
      <c r="A15" s="12" t="inlineStr">
        <is>
          <t>Net Cash from Investing Activities</t>
        </is>
      </c>
      <c r="B15" s="12" t="inlineStr">
        <is>
          <t>A$m</t>
        </is>
      </c>
      <c r="C15" s="13" t="n">
        <v>-778</v>
      </c>
      <c r="D15" s="13" t="n">
        <v>-1172</v>
      </c>
      <c r="E15" s="13" t="n">
        <v>-1925</v>
      </c>
      <c r="F15" s="13" t="n">
        <v>-1520</v>
      </c>
      <c r="G15" s="13" t="n">
        <v>-1290</v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6">
      <c r="A16" t="inlineStr"/>
      <c r="H16" s="15" t="n"/>
      <c r="I16" s="15" t="n"/>
      <c r="J16" s="15" t="n"/>
      <c r="K16" s="15" t="n"/>
      <c r="L16" s="15" t="n"/>
    </row>
    <row r="17">
      <c r="A17" s="4" t="inlineStr">
        <is>
          <t>FINANCING ACTIVITIES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Proceeds from / (repayment of) borrowings</t>
        </is>
      </c>
      <c r="B18" t="inlineStr">
        <is>
          <t>A$m</t>
        </is>
      </c>
      <c r="C18" s="10" t="n">
        <v>1200</v>
      </c>
      <c r="D18" s="10" t="n">
        <v>2050</v>
      </c>
      <c r="E18" s="10" t="n">
        <v>2800</v>
      </c>
      <c r="F18" s="10" t="n">
        <v>600</v>
      </c>
      <c r="G18" s="10" t="n">
        <v>300</v>
      </c>
      <c r="H18" s="11">
        <f>Assumptions!H28</f>
        <v/>
      </c>
      <c r="I18" s="11">
        <f>Assumptions!I28</f>
        <v/>
      </c>
      <c r="J18" s="11">
        <f>Assumptions!J28</f>
        <v/>
      </c>
      <c r="K18" s="11">
        <f>Assumptions!K28</f>
        <v/>
      </c>
      <c r="L18" s="11">
        <f>Assumptions!L28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0" t="n">
        <v>-792</v>
      </c>
      <c r="D19" s="10" t="n">
        <v>-1032</v>
      </c>
      <c r="E19" s="10" t="n">
        <v>-1218</v>
      </c>
      <c r="F19" s="10" t="n">
        <v>-1276</v>
      </c>
      <c r="G19" s="10" t="n">
        <v>-1313</v>
      </c>
      <c r="H19" s="11">
        <f>-Assumptions!H26*Assumptions!H27/100</f>
        <v/>
      </c>
      <c r="I19" s="11">
        <f>-Assumptions!I26*Assumptions!I27/100</f>
        <v/>
      </c>
      <c r="J19" s="11">
        <f>-Assumptions!J26*Assumptions!J27/100</f>
        <v/>
      </c>
      <c r="K19" s="11">
        <f>-Assumptions!K26*Assumptions!K27/100</f>
        <v/>
      </c>
      <c r="L19" s="11">
        <f>-Assumptions!L26*Assumptions!L27/100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0" t="n">
        <v>405</v>
      </c>
      <c r="D20" s="10" t="n">
        <v>450</v>
      </c>
      <c r="E20" s="10" t="n">
        <v>430</v>
      </c>
      <c r="F20" s="10" t="n">
        <v>340</v>
      </c>
      <c r="G20" s="10" t="n">
        <v>290</v>
      </c>
      <c r="H20" s="11">
        <f>'Balance Sheet'!G37*0.01</f>
        <v/>
      </c>
      <c r="I20" s="11">
        <f>'Balance Sheet'!H37*0.01</f>
        <v/>
      </c>
      <c r="J20" s="11">
        <f>'Balance Sheet'!I37*0.01</f>
        <v/>
      </c>
      <c r="K20" s="11">
        <f>'Balance Sheet'!J37*0.01</f>
        <v/>
      </c>
      <c r="L20" s="11">
        <f>'Balance Sheet'!K37*0.01</f>
        <v/>
      </c>
    </row>
    <row r="21">
      <c r="A21" s="12" t="inlineStr">
        <is>
          <t>Net Cash from Financing Activities</t>
        </is>
      </c>
      <c r="B21" s="12" t="inlineStr">
        <is>
          <t>A$m</t>
        </is>
      </c>
      <c r="C21" s="13" t="n">
        <v>813</v>
      </c>
      <c r="D21" s="13" t="n">
        <v>1468</v>
      </c>
      <c r="E21" s="13" t="n">
        <v>2012</v>
      </c>
      <c r="F21" s="13" t="n">
        <v>-336</v>
      </c>
      <c r="G21" s="13" t="n">
        <v>-723</v>
      </c>
      <c r="H21" s="14">
        <f>H18+H19+H20</f>
        <v/>
      </c>
      <c r="I21" s="14">
        <f>I18+I19+I20</f>
        <v/>
      </c>
      <c r="J21" s="14">
        <f>J18+J19+J20</f>
        <v/>
      </c>
      <c r="K21" s="14">
        <f>K18+K19+K20</f>
        <v/>
      </c>
      <c r="L21" s="14">
        <f>L18+L19+L20</f>
        <v/>
      </c>
    </row>
    <row r="22">
      <c r="A22" t="inlineStr"/>
      <c r="H22" s="15" t="n"/>
      <c r="I22" s="15" t="n"/>
      <c r="J22" s="15" t="n"/>
      <c r="K22" s="15" t="n"/>
      <c r="L22" s="15" t="n"/>
    </row>
    <row r="23">
      <c r="A23" s="12" t="inlineStr">
        <is>
          <t>Net increase / (decrease) in cash</t>
        </is>
      </c>
      <c r="B23" s="12" t="inlineStr">
        <is>
          <t>A$m</t>
        </is>
      </c>
      <c r="C23" s="13" t="n">
        <v>1011</v>
      </c>
      <c r="D23" s="13" t="n">
        <v>1620</v>
      </c>
      <c r="E23" s="13" t="n">
        <v>1536</v>
      </c>
      <c r="F23" s="13" t="n">
        <v>-186</v>
      </c>
      <c r="G23" s="13" t="n">
        <v>-279</v>
      </c>
      <c r="H23" s="14">
        <f>H10+H15+H21</f>
        <v/>
      </c>
      <c r="I23" s="14">
        <f>I10+I15+I21</f>
        <v/>
      </c>
      <c r="J23" s="14">
        <f>J10+J15+J21</f>
        <v/>
      </c>
      <c r="K23" s="14">
        <f>K10+K15+K21</f>
        <v/>
      </c>
      <c r="L23" s="14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0" t="n">
        <v>-748</v>
      </c>
      <c r="D24" s="10" t="n">
        <v>-1023</v>
      </c>
      <c r="E24" s="10" t="n">
        <v>-1901</v>
      </c>
      <c r="F24" s="10" t="n">
        <v>-244</v>
      </c>
      <c r="G24" s="10" t="n">
        <v>449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0" t="n">
        <v>2285</v>
      </c>
      <c r="D25" s="10" t="n">
        <v>2548</v>
      </c>
      <c r="E25" s="10" t="n">
        <v>3145</v>
      </c>
      <c r="F25" s="10" t="n">
        <v>2780</v>
      </c>
      <c r="G25" s="10" t="n">
        <v>2350</v>
      </c>
      <c r="H25" s="11">
        <f>'Balance Sheet'!G7</f>
        <v/>
      </c>
      <c r="I25" s="11">
        <f>'Balance Sheet'!H7</f>
        <v/>
      </c>
      <c r="J25" s="11">
        <f>'Balance Sheet'!I7</f>
        <v/>
      </c>
      <c r="K25" s="11">
        <f>'Balance Sheet'!J7</f>
        <v/>
      </c>
      <c r="L25" s="11">
        <f>'Balance Sheet'!K7</f>
        <v/>
      </c>
    </row>
    <row r="26">
      <c r="A26" s="16" t="inlineStr">
        <is>
          <t>Closing Cash Balance</t>
        </is>
      </c>
      <c r="B26" s="16" t="inlineStr">
        <is>
          <t>A$m</t>
        </is>
      </c>
      <c r="C26" s="17" t="n">
        <v>2548</v>
      </c>
      <c r="D26" s="17" t="n">
        <v>3145</v>
      </c>
      <c r="E26" s="17" t="n">
        <v>2780</v>
      </c>
      <c r="F26" s="17" t="n">
        <v>2350</v>
      </c>
      <c r="G26" s="17" t="n">
        <v>2520</v>
      </c>
      <c r="H26" s="18">
        <f>H25+H23+H24</f>
        <v/>
      </c>
      <c r="I26" s="18">
        <f>I25+I23+I24</f>
        <v/>
      </c>
      <c r="J26" s="18">
        <f>J25+J23+J24</f>
        <v/>
      </c>
      <c r="K26" s="18">
        <f>K25+K23+K24</f>
        <v/>
      </c>
      <c r="L26" s="18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2026-02-09T05:25:49Z</dcterms:created>
  <dcterms:modified xsi:type="dcterms:W3CDTF">2026-02-09T05:25:49Z</dcterms:modified>
</cp:coreProperties>
</file>