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;(#,##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10"/>
    </font>
    <font>
      <name val="Calibri"/>
      <b val="1"/>
      <color rgb="001F3864"/>
      <sz val="11"/>
    </font>
    <font>
      <name val="Calibri"/>
      <sz val="11"/>
    </font>
    <font>
      <name val="Calibri"/>
      <color rgb="00006100"/>
      <sz val="11"/>
    </font>
    <font>
      <name val="Calibri"/>
      <b val="1"/>
      <color rgb="00FFFFFF"/>
      <sz val="11"/>
    </font>
    <font>
      <name val="Calibri"/>
      <color rgb="002E75B6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double">
        <color rgb="001F386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164" fontId="4" fillId="0" borderId="0" pivotButton="0" quotePrefix="0" xfId="0"/>
    <xf numFmtId="164" fontId="7" fillId="5" borderId="0" pivotButton="0" quotePrefix="0" xfId="0"/>
    <xf numFmtId="3" fontId="4" fillId="0" borderId="0" pivotButton="0" quotePrefix="0" xfId="0"/>
    <xf numFmtId="3" fontId="7" fillId="5" borderId="0" pivotButton="0" quotePrefix="0" xfId="0"/>
    <xf numFmtId="165" fontId="4" fillId="0" borderId="0" pivotButton="0" quotePrefix="0" xfId="0"/>
    <xf numFmtId="165" fontId="7" fillId="5" borderId="0" pivotButton="0" quotePrefix="0" xfId="0"/>
    <xf numFmtId="0" fontId="1" fillId="0" borderId="0" pivotButton="0" quotePrefix="0" xfId="0"/>
    <xf numFmtId="166" fontId="0" fillId="0" borderId="0" pivotButton="0" quotePrefix="0" xfId="0"/>
    <xf numFmtId="166" fontId="0" fillId="5" borderId="0" pivotButton="0" quotePrefix="0" xfId="0"/>
    <xf numFmtId="0" fontId="8" fillId="0" borderId="1" pivotButton="0" quotePrefix="0" xfId="0"/>
    <xf numFmtId="166" fontId="8" fillId="0" borderId="1" pivotButton="0" quotePrefix="0" xfId="0"/>
    <xf numFmtId="166" fontId="8" fillId="5" borderId="1" pivotButton="0" quotePrefix="0" xfId="0"/>
    <xf numFmtId="0" fontId="0" fillId="5" borderId="0" pivotButton="0" quotePrefix="0" xfId="0"/>
    <xf numFmtId="0" fontId="8" fillId="0" borderId="2" pivotButton="0" quotePrefix="0" xfId="0"/>
    <xf numFmtId="166" fontId="8" fillId="0" borderId="2" pivotButton="0" quotePrefix="0" xfId="0"/>
    <xf numFmtId="166" fontId="8" fillId="5" borderId="2" pivotButton="0" quotePrefix="0" xfId="0"/>
    <xf numFmtId="0" fontId="8" fillId="5" borderId="1" pivotButton="0" quotePrefix="0" xfId="0"/>
    <xf numFmtId="164" fontId="0" fillId="0" borderId="0" pivotButton="0" quotePrefix="0" xfId="0"/>
    <xf numFmtId="164" fontId="0" fillId="5" borderId="0" pivotButton="0" quotePrefix="0" xfId="0"/>
    <xf numFmtId="3" fontId="0" fillId="0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L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Transurban Group (ASX: TCL) – Forecast Assumptions &amp; Key Drivers</t>
        </is>
      </c>
    </row>
    <row r="2">
      <c r="A2" s="2" t="inlineStr">
        <is>
          <t>All figures in A$ millions unless otherwise stated.  Fiscal year ends 30 June.</t>
        </is>
      </c>
    </row>
    <row r="4">
      <c r="A4" s="3" t="inlineStr">
        <is>
          <t>SCENARIO TOGGLES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4" t="inlineStr">
        <is>
          <t>Toll revenue growth method</t>
        </is>
      </c>
      <c r="B5" s="5" t="inlineStr">
        <is>
          <t>Forecast</t>
        </is>
      </c>
    </row>
    <row r="6">
      <c r="A6" s="4" t="inlineStr">
        <is>
          <t>Other revenue growth method</t>
        </is>
      </c>
      <c r="B6" s="5" t="inlineStr">
        <is>
          <t>Forecast</t>
        </is>
      </c>
    </row>
    <row r="7">
      <c r="A7" s="4" t="inlineStr">
        <is>
          <t>Opex % method</t>
        </is>
      </c>
      <c r="B7" s="5" t="inlineStr">
        <is>
          <t>Forecast</t>
        </is>
      </c>
    </row>
    <row r="8">
      <c r="A8" s="4" t="inlineStr">
        <is>
          <t>D&amp;A % method</t>
        </is>
      </c>
      <c r="B8" s="5" t="inlineStr">
        <is>
          <t>Forecast</t>
        </is>
      </c>
    </row>
    <row r="9">
      <c r="A9" s="4" t="inlineStr">
        <is>
          <t>Cost of debt method</t>
        </is>
      </c>
      <c r="B9" s="5" t="inlineStr">
        <is>
          <t>Forecast</t>
        </is>
      </c>
    </row>
    <row r="10">
      <c r="A10" s="4" t="inlineStr">
        <is>
          <t>Tax rate method</t>
        </is>
      </c>
      <c r="B10" s="5" t="inlineStr">
        <is>
          <t>Forecast</t>
        </is>
      </c>
    </row>
    <row r="12">
      <c r="A12" s="6" t="inlineStr">
        <is>
          <t>Assumption / Driver</t>
        </is>
      </c>
      <c r="B12" s="6" t="inlineStr">
        <is>
          <t>Unit</t>
        </is>
      </c>
      <c r="C12" s="6" t="inlineStr">
        <is>
          <t>FY21</t>
        </is>
      </c>
      <c r="D12" s="6" t="inlineStr">
        <is>
          <t>FY22</t>
        </is>
      </c>
      <c r="E12" s="6" t="inlineStr">
        <is>
          <t>FY23</t>
        </is>
      </c>
      <c r="F12" s="6" t="inlineStr">
        <is>
          <t>FY24</t>
        </is>
      </c>
      <c r="G12" s="6" t="inlineStr">
        <is>
          <t>FY25</t>
        </is>
      </c>
      <c r="H12" s="6" t="inlineStr">
        <is>
          <t>FY26F</t>
        </is>
      </c>
      <c r="I12" s="6" t="inlineStr">
        <is>
          <t>FY27F</t>
        </is>
      </c>
      <c r="J12" s="6" t="inlineStr">
        <is>
          <t>FY28F</t>
        </is>
      </c>
      <c r="K12" s="6" t="inlineStr">
        <is>
          <t>FY29F</t>
        </is>
      </c>
      <c r="L12" s="6" t="inlineStr">
        <is>
          <t>FY30F</t>
        </is>
      </c>
    </row>
    <row r="14">
      <c r="A14" s="3" t="inlineStr">
        <is>
          <t>REVENUE DRIVERS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t="inlineStr">
        <is>
          <t>Toll revenue growth (input)</t>
        </is>
      </c>
      <c r="B15" t="inlineStr">
        <is>
          <t>%</t>
        </is>
      </c>
      <c r="C15" s="7" t="n">
        <v>-0.042</v>
      </c>
      <c r="D15" s="7" t="n">
        <v>0.151</v>
      </c>
      <c r="E15" s="7" t="n">
        <v>0.221</v>
      </c>
      <c r="F15" s="7" t="n">
        <v>0.08699999999999999</v>
      </c>
      <c r="G15" s="7" t="n">
        <v>0.062</v>
      </c>
      <c r="H15" s="8" t="n">
        <v>0.055</v>
      </c>
      <c r="I15" s="8" t="n">
        <v>0.05</v>
      </c>
      <c r="J15" s="8" t="n">
        <v>0.045</v>
      </c>
      <c r="K15" s="8" t="n">
        <v>0.04</v>
      </c>
      <c r="L15" s="8" t="n">
        <v>0.038</v>
      </c>
    </row>
    <row r="16">
      <c r="A16" t="inlineStr">
        <is>
          <t>Toll revenue growth (active)</t>
        </is>
      </c>
      <c r="B16" t="inlineStr">
        <is>
          <t>%</t>
        </is>
      </c>
      <c r="C16" s="7">
        <f>C15</f>
        <v/>
      </c>
      <c r="D16" s="7">
        <f>D15</f>
        <v/>
      </c>
      <c r="E16" s="7">
        <f>E15</f>
        <v/>
      </c>
      <c r="F16" s="7">
        <f>F15</f>
        <v/>
      </c>
      <c r="G16" s="7">
        <f>G15</f>
        <v/>
      </c>
      <c r="H16" s="8">
        <f>IF($B$5="3yr Avg",AVERAGE(E15:G15),H15)</f>
        <v/>
      </c>
      <c r="I16" s="8">
        <f>IF($B$5="3yr Avg",AVERAGE(E15:G15),I15)</f>
        <v/>
      </c>
      <c r="J16" s="8">
        <f>IF($B$5="3yr Avg",AVERAGE(E15:G15),J15)</f>
        <v/>
      </c>
      <c r="K16" s="8">
        <f>IF($B$5="3yr Avg",AVERAGE(E15:G15),K15)</f>
        <v/>
      </c>
      <c r="L16" s="8">
        <f>IF($B$5="3yr Avg",AVERAGE(E15:G15),L15)</f>
        <v/>
      </c>
    </row>
    <row r="17">
      <c r="A17" t="inlineStr">
        <is>
          <t>Other revenue growth (input)</t>
        </is>
      </c>
      <c r="B17" t="inlineStr">
        <is>
          <t>%</t>
        </is>
      </c>
      <c r="C17" s="7" t="n">
        <v>0.02</v>
      </c>
      <c r="D17" s="7" t="n">
        <v>-0.025</v>
      </c>
      <c r="E17" s="7" t="n">
        <v>0.068</v>
      </c>
      <c r="F17" s="7" t="n">
        <v>-0.018</v>
      </c>
      <c r="G17" s="7" t="n">
        <v>0.104</v>
      </c>
      <c r="H17" s="8" t="n">
        <v>0.03</v>
      </c>
      <c r="I17" s="8" t="n">
        <v>0.03</v>
      </c>
      <c r="J17" s="8" t="n">
        <v>0.03</v>
      </c>
      <c r="K17" s="8" t="n">
        <v>0.03</v>
      </c>
      <c r="L17" s="8" t="n">
        <v>0.03</v>
      </c>
    </row>
    <row r="18">
      <c r="A18" t="inlineStr">
        <is>
          <t>Other revenue growth (active)</t>
        </is>
      </c>
      <c r="B18" t="inlineStr">
        <is>
          <t>%</t>
        </is>
      </c>
      <c r="C18" s="7">
        <f>C17</f>
        <v/>
      </c>
      <c r="D18" s="7">
        <f>D17</f>
        <v/>
      </c>
      <c r="E18" s="7">
        <f>E17</f>
        <v/>
      </c>
      <c r="F18" s="7">
        <f>F17</f>
        <v/>
      </c>
      <c r="G18" s="7">
        <f>G17</f>
        <v/>
      </c>
      <c r="H18" s="8">
        <f>IF($B$6="3yr Avg",AVERAGE(E17:G17),H17)</f>
        <v/>
      </c>
      <c r="I18" s="8">
        <f>IF($B$6="3yr Avg",AVERAGE(E17:G17),I17)</f>
        <v/>
      </c>
      <c r="J18" s="8">
        <f>IF($B$6="3yr Avg",AVERAGE(E17:G17),J17)</f>
        <v/>
      </c>
      <c r="K18" s="8">
        <f>IF($B$6="3yr Avg",AVERAGE(E17:G17),K17)</f>
        <v/>
      </c>
      <c r="L18" s="8">
        <f>IF($B$6="3yr Avg",AVERAGE(E17:G17),L17)</f>
        <v/>
      </c>
    </row>
    <row r="20">
      <c r="A20" s="3" t="inlineStr">
        <is>
          <t>OPERATING COST DRIVERS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t="inlineStr">
        <is>
          <t>Opex as % of revenue (input)</t>
        </is>
      </c>
      <c r="B21" t="inlineStr">
        <is>
          <t>%</t>
        </is>
      </c>
      <c r="C21" s="7" t="n">
        <v>0.352</v>
      </c>
      <c r="D21" s="7" t="n">
        <v>0.325</v>
      </c>
      <c r="E21" s="7" t="n">
        <v>0.315</v>
      </c>
      <c r="F21" s="7" t="n">
        <v>0.307</v>
      </c>
      <c r="G21" s="7" t="n">
        <v>0.308</v>
      </c>
      <c r="H21" s="8" t="n">
        <v>0.305</v>
      </c>
      <c r="I21" s="8" t="n">
        <v>0.3</v>
      </c>
      <c r="J21" s="8" t="n">
        <v>0.295</v>
      </c>
      <c r="K21" s="8" t="n">
        <v>0.29</v>
      </c>
      <c r="L21" s="8" t="n">
        <v>0.288</v>
      </c>
    </row>
    <row r="22">
      <c r="A22" t="inlineStr">
        <is>
          <t>Opex as % of revenue (active)</t>
        </is>
      </c>
      <c r="B22" t="inlineStr">
        <is>
          <t>%</t>
        </is>
      </c>
      <c r="C22" s="7">
        <f>C21</f>
        <v/>
      </c>
      <c r="D22" s="7">
        <f>D21</f>
        <v/>
      </c>
      <c r="E22" s="7">
        <f>E21</f>
        <v/>
      </c>
      <c r="F22" s="7">
        <f>F21</f>
        <v/>
      </c>
      <c r="G22" s="7">
        <f>G21</f>
        <v/>
      </c>
      <c r="H22" s="8">
        <f>IF($B$7="3yr Avg",AVERAGE(E21:G21),H21)</f>
        <v/>
      </c>
      <c r="I22" s="8">
        <f>IF($B$7="3yr Avg",AVERAGE(E21:G21),I21)</f>
        <v/>
      </c>
      <c r="J22" s="8">
        <f>IF($B$7="3yr Avg",AVERAGE(E21:G21),J21)</f>
        <v/>
      </c>
      <c r="K22" s="8">
        <f>IF($B$7="3yr Avg",AVERAGE(E21:G21),K21)</f>
        <v/>
      </c>
      <c r="L22" s="8">
        <f>IF($B$7="3yr Avg",AVERAGE(E21:G21),L21)</f>
        <v/>
      </c>
    </row>
    <row r="23">
      <c r="A23" t="inlineStr">
        <is>
          <t>Employee costs as % of revenue</t>
        </is>
      </c>
      <c r="B23" t="inlineStr">
        <is>
          <t>%</t>
        </is>
      </c>
      <c r="C23" s="7" t="n">
        <v>0.08500000000000001</v>
      </c>
      <c r="D23" s="7" t="n">
        <v>0.08</v>
      </c>
      <c r="E23" s="7" t="n">
        <v>0.07400000000000001</v>
      </c>
      <c r="F23" s="7" t="n">
        <v>0.073</v>
      </c>
      <c r="G23" s="7" t="n">
        <v>0.07200000000000001</v>
      </c>
      <c r="H23" s="8" t="n">
        <v>0.07200000000000001</v>
      </c>
      <c r="I23" s="8" t="n">
        <v>0.07000000000000001</v>
      </c>
      <c r="J23" s="8" t="n">
        <v>0.06900000000000001</v>
      </c>
      <c r="K23" s="8" t="n">
        <v>0.068</v>
      </c>
      <c r="L23" s="8" t="n">
        <v>0.067</v>
      </c>
    </row>
    <row r="24">
      <c r="A24" t="inlineStr">
        <is>
          <t>Employee costs share of total opex</t>
        </is>
      </c>
      <c r="B24" t="inlineStr">
        <is>
          <t>%</t>
        </is>
      </c>
      <c r="C24" s="7" t="n">
        <v>0.24</v>
      </c>
      <c r="D24" s="7" t="n">
        <v>0.25</v>
      </c>
      <c r="E24" s="7" t="n">
        <v>0.24</v>
      </c>
      <c r="F24" s="7" t="n">
        <v>0.24</v>
      </c>
      <c r="G24" s="7" t="n">
        <v>0.23</v>
      </c>
      <c r="H24" s="8" t="n">
        <v>0.25</v>
      </c>
      <c r="I24" s="8" t="n">
        <v>0.25</v>
      </c>
      <c r="J24" s="8" t="n">
        <v>0.25</v>
      </c>
      <c r="K24" s="8" t="n">
        <v>0.25</v>
      </c>
      <c r="L24" s="8" t="n">
        <v>0.25</v>
      </c>
    </row>
    <row r="25">
      <c r="A25" t="inlineStr">
        <is>
          <t>Road ops share of total opex</t>
        </is>
      </c>
      <c r="B25" t="inlineStr">
        <is>
          <t>%</t>
        </is>
      </c>
      <c r="C25" s="7" t="n">
        <v>0.34</v>
      </c>
      <c r="D25" s="7" t="n">
        <v>0.33</v>
      </c>
      <c r="E25" s="7" t="n">
        <v>0.33</v>
      </c>
      <c r="F25" s="7" t="n">
        <v>0.32</v>
      </c>
      <c r="G25" s="7" t="n">
        <v>0.31</v>
      </c>
      <c r="H25" s="8" t="n">
        <v>0.33</v>
      </c>
      <c r="I25" s="8" t="n">
        <v>0.33</v>
      </c>
      <c r="J25" s="8" t="n">
        <v>0.33</v>
      </c>
      <c r="K25" s="8" t="n">
        <v>0.33</v>
      </c>
      <c r="L25" s="8" t="n">
        <v>0.33</v>
      </c>
    </row>
    <row r="27">
      <c r="A27" s="3" t="inlineStr">
        <is>
          <t>DEPRECIATION &amp; AMORTISATION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t="inlineStr">
        <is>
          <t>D&amp;A as % of NCA (input)</t>
        </is>
      </c>
      <c r="B28" t="inlineStr">
        <is>
          <t>%</t>
        </is>
      </c>
      <c r="C28" s="7" t="n">
        <v>0.027</v>
      </c>
      <c r="D28" s="7" t="n">
        <v>0.027</v>
      </c>
      <c r="E28" s="7" t="n">
        <v>0.027</v>
      </c>
      <c r="F28" s="7" t="n">
        <v>0.027</v>
      </c>
      <c r="G28" s="7" t="n">
        <v>0.028</v>
      </c>
      <c r="H28" s="8" t="n">
        <v>0.028</v>
      </c>
      <c r="I28" s="8" t="n">
        <v>0.028</v>
      </c>
      <c r="J28" s="8" t="n">
        <v>0.028</v>
      </c>
      <c r="K28" s="8" t="n">
        <v>0.028</v>
      </c>
      <c r="L28" s="8" t="n">
        <v>0.028</v>
      </c>
    </row>
    <row r="29">
      <c r="A29" t="inlineStr">
        <is>
          <t>D&amp;A as % of NCA (active)</t>
        </is>
      </c>
      <c r="B29" t="inlineStr">
        <is>
          <t>%</t>
        </is>
      </c>
      <c r="C29" s="7">
        <f>C28</f>
        <v/>
      </c>
      <c r="D29" s="7">
        <f>D28</f>
        <v/>
      </c>
      <c r="E29" s="7">
        <f>E28</f>
        <v/>
      </c>
      <c r="F29" s="7">
        <f>F28</f>
        <v/>
      </c>
      <c r="G29" s="7">
        <f>G28</f>
        <v/>
      </c>
      <c r="H29" s="8">
        <f>IF($B$8="3yr Avg",AVERAGE(E28:G28),H28)</f>
        <v/>
      </c>
      <c r="I29" s="8">
        <f>IF($B$8="3yr Avg",AVERAGE(E28:G28),I28)</f>
        <v/>
      </c>
      <c r="J29" s="8">
        <f>IF($B$8="3yr Avg",AVERAGE(E28:G28),J28)</f>
        <v/>
      </c>
      <c r="K29" s="8">
        <f>IF($B$8="3yr Avg",AVERAGE(E28:G28),K28)</f>
        <v/>
      </c>
      <c r="L29" s="8">
        <f>IF($B$8="3yr Avg",AVERAGE(E28:G28),L28)</f>
        <v/>
      </c>
    </row>
    <row r="30">
      <c r="A30" t="inlineStr">
        <is>
          <t>D&amp;A allocation to PP&amp;E</t>
        </is>
      </c>
      <c r="B30" t="inlineStr">
        <is>
          <t>%</t>
        </is>
      </c>
      <c r="C30" s="7" t="n">
        <v>0.4</v>
      </c>
      <c r="D30" s="7" t="n">
        <v>0.4</v>
      </c>
      <c r="E30" s="7" t="n">
        <v>0.4</v>
      </c>
      <c r="F30" s="7" t="n">
        <v>0.4</v>
      </c>
      <c r="G30" s="7" t="n">
        <v>0.4</v>
      </c>
      <c r="H30" s="8" t="n">
        <v>0.4</v>
      </c>
      <c r="I30" s="8" t="n">
        <v>0.4</v>
      </c>
      <c r="J30" s="8" t="n">
        <v>0.4</v>
      </c>
      <c r="K30" s="8" t="n">
        <v>0.4</v>
      </c>
      <c r="L30" s="8" t="n">
        <v>0.4</v>
      </c>
    </row>
    <row r="31">
      <c r="A31" t="inlineStr">
        <is>
          <t>D&amp;A allocation to intangibles</t>
        </is>
      </c>
      <c r="B31" t="inlineStr">
        <is>
          <t>%</t>
        </is>
      </c>
      <c r="C31" s="7" t="n">
        <v>0.6</v>
      </c>
      <c r="D31" s="7" t="n">
        <v>0.6</v>
      </c>
      <c r="E31" s="7" t="n">
        <v>0.6</v>
      </c>
      <c r="F31" s="7" t="n">
        <v>0.6</v>
      </c>
      <c r="G31" s="7" t="n">
        <v>0.6</v>
      </c>
      <c r="H31" s="8" t="n">
        <v>0.6</v>
      </c>
      <c r="I31" s="8" t="n">
        <v>0.6</v>
      </c>
      <c r="J31" s="8" t="n">
        <v>0.6</v>
      </c>
      <c r="K31" s="8" t="n">
        <v>0.6</v>
      </c>
      <c r="L31" s="8" t="n">
        <v>0.6</v>
      </c>
    </row>
    <row r="33">
      <c r="A33" s="3" t="inlineStr">
        <is>
          <t>FINANCING ASSUMPTIONS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t="inlineStr">
        <is>
          <t>Average cost of debt (input)</t>
        </is>
      </c>
      <c r="B34" t="inlineStr">
        <is>
          <t>%</t>
        </is>
      </c>
      <c r="C34" s="7" t="n">
        <v>0.046</v>
      </c>
      <c r="D34" s="7" t="n">
        <v>0.04</v>
      </c>
      <c r="E34" s="7" t="n">
        <v>0.042</v>
      </c>
      <c r="F34" s="7" t="n">
        <v>0.045</v>
      </c>
      <c r="G34" s="7" t="n">
        <v>0.046</v>
      </c>
      <c r="H34" s="8" t="n">
        <v>0.047</v>
      </c>
      <c r="I34" s="8" t="n">
        <v>0.047</v>
      </c>
      <c r="J34" s="8" t="n">
        <v>0.048</v>
      </c>
      <c r="K34" s="8" t="n">
        <v>0.048</v>
      </c>
      <c r="L34" s="8" t="n">
        <v>0.048</v>
      </c>
    </row>
    <row r="35">
      <c r="A35" t="inlineStr">
        <is>
          <t>Average cost of debt (active)</t>
        </is>
      </c>
      <c r="B35" t="inlineStr">
        <is>
          <t>%</t>
        </is>
      </c>
      <c r="C35" s="7">
        <f>C34</f>
        <v/>
      </c>
      <c r="D35" s="7">
        <f>D34</f>
        <v/>
      </c>
      <c r="E35" s="7">
        <f>E34</f>
        <v/>
      </c>
      <c r="F35" s="7">
        <f>F34</f>
        <v/>
      </c>
      <c r="G35" s="7">
        <f>G34</f>
        <v/>
      </c>
      <c r="H35" s="8">
        <f>IF($B$9="3yr Avg",AVERAGE(E34:G34),H34)</f>
        <v/>
      </c>
      <c r="I35" s="8">
        <f>IF($B$9="3yr Avg",AVERAGE(E34:G34),I34)</f>
        <v/>
      </c>
      <c r="J35" s="8">
        <f>IF($B$9="3yr Avg",AVERAGE(E34:G34),J34)</f>
        <v/>
      </c>
      <c r="K35" s="8">
        <f>IF($B$9="3yr Avg",AVERAGE(E34:G34),K34)</f>
        <v/>
      </c>
      <c r="L35" s="8">
        <f>IF($B$9="3yr Avg",AVERAGE(E34:G34),L34)</f>
        <v/>
      </c>
    </row>
    <row r="36">
      <c r="A36" t="inlineStr">
        <is>
          <t>Effective tax rate (input)</t>
        </is>
      </c>
      <c r="B36" t="inlineStr">
        <is>
          <t>%</t>
        </is>
      </c>
      <c r="C36" s="7" t="n">
        <v>-0.015</v>
      </c>
      <c r="D36" s="7" t="n">
        <v>0.14</v>
      </c>
      <c r="E36" s="7" t="n">
        <v>0.143</v>
      </c>
      <c r="F36" s="7" t="n">
        <v>0.144</v>
      </c>
      <c r="G36" s="7" t="n">
        <v>0.15</v>
      </c>
      <c r="H36" s="8" t="n">
        <v>0.15</v>
      </c>
      <c r="I36" s="8" t="n">
        <v>0.15</v>
      </c>
      <c r="J36" s="8" t="n">
        <v>0.15</v>
      </c>
      <c r="K36" s="8" t="n">
        <v>0.15</v>
      </c>
      <c r="L36" s="8" t="n">
        <v>0.15</v>
      </c>
    </row>
    <row r="37">
      <c r="A37" t="inlineStr">
        <is>
          <t>Effective tax rate (active)</t>
        </is>
      </c>
      <c r="B37" t="inlineStr">
        <is>
          <t>%</t>
        </is>
      </c>
      <c r="C37" s="7">
        <f>C36</f>
        <v/>
      </c>
      <c r="D37" s="7">
        <f>D36</f>
        <v/>
      </c>
      <c r="E37" s="7">
        <f>E36</f>
        <v/>
      </c>
      <c r="F37" s="7">
        <f>F36</f>
        <v/>
      </c>
      <c r="G37" s="7">
        <f>G36</f>
        <v/>
      </c>
      <c r="H37" s="8">
        <f>IF($B$10="3yr Avg",AVERAGE(E36:G36),H36)</f>
        <v/>
      </c>
      <c r="I37" s="8">
        <f>IF($B$10="3yr Avg",AVERAGE(E36:G36),I36)</f>
        <v/>
      </c>
      <c r="J37" s="8">
        <f>IF($B$10="3yr Avg",AVERAGE(E36:G36),J36)</f>
        <v/>
      </c>
      <c r="K37" s="8">
        <f>IF($B$10="3yr Avg",AVERAGE(E36:G36),K36)</f>
        <v/>
      </c>
      <c r="L37" s="8">
        <f>IF($B$10="3yr Avg",AVERAGE(E36:G36),L36)</f>
        <v/>
      </c>
    </row>
    <row r="38">
      <c r="A38" t="inlineStr">
        <is>
          <t>Statutory tax rate</t>
        </is>
      </c>
      <c r="B38" t="inlineStr">
        <is>
          <t>%</t>
        </is>
      </c>
      <c r="C38" s="7" t="n">
        <v>0.3</v>
      </c>
      <c r="D38" s="7" t="n">
        <v>0.3</v>
      </c>
      <c r="E38" s="7" t="n">
        <v>0.3</v>
      </c>
      <c r="F38" s="7" t="n">
        <v>0.3</v>
      </c>
      <c r="G38" s="7" t="n">
        <v>0.3</v>
      </c>
      <c r="H38" s="8" t="n">
        <v>0.3</v>
      </c>
      <c r="I38" s="8" t="n">
        <v>0.3</v>
      </c>
      <c r="J38" s="8" t="n">
        <v>0.3</v>
      </c>
      <c r="K38" s="8" t="n">
        <v>0.3</v>
      </c>
      <c r="L38" s="8" t="n">
        <v>0.3</v>
      </c>
    </row>
    <row r="39">
      <c r="A39" t="inlineStr">
        <is>
          <t>Current borrowings as % of total debt</t>
        </is>
      </c>
      <c r="B39" t="inlineStr">
        <is>
          <t>%</t>
        </is>
      </c>
      <c r="C39" s="7" t="n">
        <v>0.06</v>
      </c>
      <c r="D39" s="7" t="n">
        <v>0.055</v>
      </c>
      <c r="E39" s="7" t="n">
        <v>0.055</v>
      </c>
      <c r="F39" s="7" t="n">
        <v>0.05</v>
      </c>
      <c r="G39" s="7" t="n">
        <v>0.05</v>
      </c>
      <c r="H39" s="8" t="n">
        <v>0.05</v>
      </c>
      <c r="I39" s="8" t="n">
        <v>0.05</v>
      </c>
      <c r="J39" s="8" t="n">
        <v>0.05</v>
      </c>
      <c r="K39" s="8" t="n">
        <v>0.05</v>
      </c>
      <c r="L39" s="8" t="n">
        <v>0.05</v>
      </c>
    </row>
    <row r="40">
      <c r="A40" t="inlineStr">
        <is>
          <t>DRP / dilution rate</t>
        </is>
      </c>
      <c r="B40" t="inlineStr">
        <is>
          <t>%</t>
        </is>
      </c>
      <c r="C40" s="7" t="n">
        <v>0.01</v>
      </c>
      <c r="D40" s="7" t="n">
        <v>0.01</v>
      </c>
      <c r="E40" s="7" t="n">
        <v>0.01</v>
      </c>
      <c r="F40" s="7" t="n">
        <v>0.01</v>
      </c>
      <c r="G40" s="7" t="n">
        <v>0.01</v>
      </c>
      <c r="H40" s="8" t="n">
        <v>0.01</v>
      </c>
      <c r="I40" s="8" t="n">
        <v>0.01</v>
      </c>
      <c r="J40" s="8" t="n">
        <v>0.01</v>
      </c>
      <c r="K40" s="8" t="n">
        <v>0.01</v>
      </c>
      <c r="L40" s="8" t="n">
        <v>0.01</v>
      </c>
    </row>
    <row r="42">
      <c r="A42" s="3" t="inlineStr">
        <is>
          <t>BALANCE SHEET DRIVERS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t="inlineStr">
        <is>
          <t>Capex (maintenance + growth)</t>
        </is>
      </c>
      <c r="B43" t="inlineStr">
        <is>
          <t>A$m</t>
        </is>
      </c>
      <c r="C43" s="9" t="n">
        <v>628</v>
      </c>
      <c r="D43" s="9" t="n">
        <v>1092</v>
      </c>
      <c r="E43" s="9" t="n">
        <v>1805</v>
      </c>
      <c r="F43" s="9" t="n">
        <v>1420</v>
      </c>
      <c r="G43" s="9" t="n">
        <v>1200</v>
      </c>
      <c r="H43" s="10" t="n">
        <v>1300</v>
      </c>
      <c r="I43" s="10" t="n">
        <v>1350</v>
      </c>
      <c r="J43" s="10" t="n">
        <v>1400</v>
      </c>
      <c r="K43" s="10" t="n">
        <v>1250</v>
      </c>
      <c r="L43" s="10" t="n">
        <v>1200</v>
      </c>
    </row>
    <row r="44">
      <c r="A44" t="inlineStr">
        <is>
          <t>Trade receivables days</t>
        </is>
      </c>
      <c r="B44" t="inlineStr">
        <is>
          <t>days</t>
        </is>
      </c>
      <c r="C44" s="9" t="n">
        <v>28</v>
      </c>
      <c r="D44" s="9" t="n">
        <v>26</v>
      </c>
      <c r="E44" s="9" t="n">
        <v>25</v>
      </c>
      <c r="F44" s="9" t="n">
        <v>24</v>
      </c>
      <c r="G44" s="9" t="n">
        <v>24</v>
      </c>
      <c r="H44" s="10" t="n">
        <v>24</v>
      </c>
      <c r="I44" s="10" t="n">
        <v>24</v>
      </c>
      <c r="J44" s="10" t="n">
        <v>24</v>
      </c>
      <c r="K44" s="10" t="n">
        <v>24</v>
      </c>
      <c r="L44" s="10" t="n">
        <v>24</v>
      </c>
    </row>
    <row r="45">
      <c r="A45" t="inlineStr">
        <is>
          <t>Trade payables days</t>
        </is>
      </c>
      <c r="B45" t="inlineStr">
        <is>
          <t>days</t>
        </is>
      </c>
      <c r="C45" s="9" t="n">
        <v>55</v>
      </c>
      <c r="D45" s="9" t="n">
        <v>52</v>
      </c>
      <c r="E45" s="9" t="n">
        <v>50</v>
      </c>
      <c r="F45" s="9" t="n">
        <v>48</v>
      </c>
      <c r="G45" s="9" t="n">
        <v>48</v>
      </c>
      <c r="H45" s="10" t="n">
        <v>48</v>
      </c>
      <c r="I45" s="10" t="n">
        <v>48</v>
      </c>
      <c r="J45" s="10" t="n">
        <v>48</v>
      </c>
      <c r="K45" s="10" t="n">
        <v>48</v>
      </c>
      <c r="L45" s="10" t="n">
        <v>48</v>
      </c>
    </row>
    <row r="46">
      <c r="A46" t="inlineStr">
        <is>
          <t>Other current assets growth rate</t>
        </is>
      </c>
      <c r="B46" t="inlineStr">
        <is>
          <t>%</t>
        </is>
      </c>
      <c r="C46" s="7" t="n">
        <v>0.03</v>
      </c>
      <c r="D46" s="7" t="n">
        <v>0.03</v>
      </c>
      <c r="E46" s="7" t="n">
        <v>0.03</v>
      </c>
      <c r="F46" s="7" t="n">
        <v>0.03</v>
      </c>
      <c r="G46" s="7" t="n">
        <v>0.03</v>
      </c>
      <c r="H46" s="8" t="n">
        <v>0.03</v>
      </c>
      <c r="I46" s="8" t="n">
        <v>0.03</v>
      </c>
      <c r="J46" s="8" t="n">
        <v>0.03</v>
      </c>
      <c r="K46" s="8" t="n">
        <v>0.03</v>
      </c>
      <c r="L46" s="8" t="n">
        <v>0.03</v>
      </c>
    </row>
    <row r="47">
      <c r="A47" t="inlineStr">
        <is>
          <t>JV investments growth rate</t>
        </is>
      </c>
      <c r="B47" t="inlineStr">
        <is>
          <t>%</t>
        </is>
      </c>
      <c r="C47" s="7" t="n">
        <v>-0.02</v>
      </c>
      <c r="D47" s="7" t="n">
        <v>-0.02</v>
      </c>
      <c r="E47" s="7" t="n">
        <v>-0.02</v>
      </c>
      <c r="F47" s="7" t="n">
        <v>-0.02</v>
      </c>
      <c r="G47" s="7" t="n">
        <v>-0.02</v>
      </c>
      <c r="H47" s="8" t="n">
        <v>-0.02</v>
      </c>
      <c r="I47" s="8" t="n">
        <v>-0.02</v>
      </c>
      <c r="J47" s="8" t="n">
        <v>-0.02</v>
      </c>
      <c r="K47" s="8" t="n">
        <v>-0.02</v>
      </c>
      <c r="L47" s="8" t="n">
        <v>-0.02</v>
      </c>
    </row>
    <row r="48">
      <c r="A48" t="inlineStr">
        <is>
          <t>Other NCA growth rate</t>
        </is>
      </c>
      <c r="B48" t="inlineStr">
        <is>
          <t>%</t>
        </is>
      </c>
      <c r="C48" s="7" t="n">
        <v>0.02</v>
      </c>
      <c r="D48" s="7" t="n">
        <v>0.02</v>
      </c>
      <c r="E48" s="7" t="n">
        <v>0.02</v>
      </c>
      <c r="F48" s="7" t="n">
        <v>0.02</v>
      </c>
      <c r="G48" s="7" t="n">
        <v>0.02</v>
      </c>
      <c r="H48" s="8" t="n">
        <v>0.02</v>
      </c>
      <c r="I48" s="8" t="n">
        <v>0.02</v>
      </c>
      <c r="J48" s="8" t="n">
        <v>0.02</v>
      </c>
      <c r="K48" s="8" t="n">
        <v>0.02</v>
      </c>
      <c r="L48" s="8" t="n">
        <v>0.02</v>
      </c>
    </row>
    <row r="49">
      <c r="A49" t="inlineStr">
        <is>
          <t>Other current liabilities growth rate</t>
        </is>
      </c>
      <c r="B49" t="inlineStr">
        <is>
          <t>%</t>
        </is>
      </c>
      <c r="C49" s="7" t="n">
        <v>0.03</v>
      </c>
      <c r="D49" s="7" t="n">
        <v>0.03</v>
      </c>
      <c r="E49" s="7" t="n">
        <v>0.03</v>
      </c>
      <c r="F49" s="7" t="n">
        <v>0.03</v>
      </c>
      <c r="G49" s="7" t="n">
        <v>0.03</v>
      </c>
      <c r="H49" s="8" t="n">
        <v>0.03</v>
      </c>
      <c r="I49" s="8" t="n">
        <v>0.03</v>
      </c>
      <c r="J49" s="8" t="n">
        <v>0.03</v>
      </c>
      <c r="K49" s="8" t="n">
        <v>0.03</v>
      </c>
      <c r="L49" s="8" t="n">
        <v>0.03</v>
      </c>
    </row>
    <row r="50">
      <c r="A50" t="inlineStr">
        <is>
          <t>Other NCL growth rate</t>
        </is>
      </c>
      <c r="B50" t="inlineStr">
        <is>
          <t>%</t>
        </is>
      </c>
      <c r="C50" s="7" t="n">
        <v>0.02</v>
      </c>
      <c r="D50" s="7" t="n">
        <v>0.02</v>
      </c>
      <c r="E50" s="7" t="n">
        <v>0.02</v>
      </c>
      <c r="F50" s="7" t="n">
        <v>0.02</v>
      </c>
      <c r="G50" s="7" t="n">
        <v>0.02</v>
      </c>
      <c r="H50" s="8" t="n">
        <v>0.02</v>
      </c>
      <c r="I50" s="8" t="n">
        <v>0.02</v>
      </c>
      <c r="J50" s="8" t="n">
        <v>0.02</v>
      </c>
      <c r="K50" s="8" t="n">
        <v>0.02</v>
      </c>
      <c r="L50" s="8" t="n">
        <v>0.02</v>
      </c>
    </row>
    <row r="52">
      <c r="A52" s="3" t="inlineStr">
        <is>
          <t>CASH FLOW / CAPITAL STRUCTURE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t="inlineStr">
        <is>
          <t>Dividend per security (DPS)</t>
        </is>
      </c>
      <c r="B53" t="inlineStr">
        <is>
          <t>A¢</t>
        </is>
      </c>
      <c r="C53" s="11" t="n">
        <v>41</v>
      </c>
      <c r="D53" s="11" t="n">
        <v>53</v>
      </c>
      <c r="E53" s="11" t="n">
        <v>62</v>
      </c>
      <c r="F53" s="11" t="n">
        <v>64.5</v>
      </c>
      <c r="G53" s="11" t="n">
        <v>66</v>
      </c>
      <c r="H53" s="12" t="n">
        <v>68</v>
      </c>
      <c r="I53" s="12" t="n">
        <v>70</v>
      </c>
      <c r="J53" s="12" t="n">
        <v>72</v>
      </c>
      <c r="K53" s="12" t="n">
        <v>74</v>
      </c>
      <c r="L53" s="12" t="n">
        <v>76</v>
      </c>
    </row>
    <row r="54">
      <c r="A54" t="inlineStr">
        <is>
          <t>Securities on issue (approx)</t>
        </is>
      </c>
      <c r="B54" t="inlineStr">
        <is>
          <t>m</t>
        </is>
      </c>
      <c r="C54" s="9" t="n">
        <v>1932</v>
      </c>
      <c r="D54" s="9" t="n">
        <v>1948</v>
      </c>
      <c r="E54" s="9" t="n">
        <v>1964</v>
      </c>
      <c r="F54" s="9" t="n">
        <v>1978</v>
      </c>
      <c r="G54" s="9" t="n">
        <v>1990</v>
      </c>
      <c r="H54" s="10" t="n">
        <v>2000</v>
      </c>
      <c r="I54" s="10" t="n">
        <v>2010</v>
      </c>
      <c r="J54" s="10" t="n">
        <v>2020</v>
      </c>
      <c r="K54" s="10" t="n">
        <v>2025</v>
      </c>
      <c r="L54" s="10" t="n">
        <v>2030</v>
      </c>
    </row>
    <row r="55">
      <c r="A55" t="inlineStr">
        <is>
          <t>Net debt issuance / (repayment)</t>
        </is>
      </c>
      <c r="B55" t="inlineStr">
        <is>
          <t>A$m</t>
        </is>
      </c>
      <c r="C55" s="9" t="n">
        <v>1200</v>
      </c>
      <c r="D55" s="9" t="n">
        <v>2050</v>
      </c>
      <c r="E55" s="9" t="n">
        <v>2800</v>
      </c>
      <c r="F55" s="9" t="n">
        <v>600</v>
      </c>
      <c r="G55" s="9" t="n">
        <v>300</v>
      </c>
      <c r="H55" s="10" t="n">
        <v>400</v>
      </c>
      <c r="I55" s="10" t="n">
        <v>350</v>
      </c>
      <c r="J55" s="10" t="n">
        <v>300</v>
      </c>
      <c r="K55" s="10" t="n">
        <v>200</v>
      </c>
      <c r="L55" s="10" t="n">
        <v>100</v>
      </c>
    </row>
    <row r="56">
      <c r="A56" t="inlineStr">
        <is>
          <t>Other operating adj. growth rate</t>
        </is>
      </c>
      <c r="B56" t="inlineStr">
        <is>
          <t>%</t>
        </is>
      </c>
      <c r="C56" s="7" t="n">
        <v>0.02</v>
      </c>
      <c r="D56" s="7" t="n">
        <v>0.02</v>
      </c>
      <c r="E56" s="7" t="n">
        <v>0.02</v>
      </c>
      <c r="F56" s="7" t="n">
        <v>0.02</v>
      </c>
      <c r="G56" s="7" t="n">
        <v>0.02</v>
      </c>
      <c r="H56" s="8" t="n">
        <v>0.02</v>
      </c>
      <c r="I56" s="8" t="n">
        <v>0.02</v>
      </c>
      <c r="J56" s="8" t="n">
        <v>0.02</v>
      </c>
      <c r="K56" s="8" t="n">
        <v>0.02</v>
      </c>
      <c r="L56" s="8" t="n">
        <v>0.02</v>
      </c>
    </row>
    <row r="57">
      <c r="A57" t="inlineStr">
        <is>
          <t>Equity issuance rate (DRP)</t>
        </is>
      </c>
      <c r="B57" t="inlineStr">
        <is>
          <t>%</t>
        </is>
      </c>
      <c r="C57" s="7" t="n">
        <v>0.01</v>
      </c>
      <c r="D57" s="7" t="n">
        <v>0.01</v>
      </c>
      <c r="E57" s="7" t="n">
        <v>0.01</v>
      </c>
      <c r="F57" s="7" t="n">
        <v>0.01</v>
      </c>
      <c r="G57" s="7" t="n">
        <v>0.01</v>
      </c>
      <c r="H57" s="8" t="n">
        <v>0.01</v>
      </c>
      <c r="I57" s="8" t="n">
        <v>0.01</v>
      </c>
      <c r="J57" s="8" t="n">
        <v>0.01</v>
      </c>
      <c r="K57" s="8" t="n">
        <v>0.01</v>
      </c>
      <c r="L57" s="8" t="n">
        <v>0.01</v>
      </c>
    </row>
    <row r="59">
      <c r="A59" s="3" t="inlineStr">
        <is>
          <t>NOTES ASSUMPTIONS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t="inlineStr">
        <is>
          <t>Construction revenue growth</t>
        </is>
      </c>
      <c r="B60" t="inlineStr">
        <is>
          <t>%</t>
        </is>
      </c>
      <c r="C60" s="7" t="n">
        <v>0.03</v>
      </c>
      <c r="D60" s="7" t="n">
        <v>0.03</v>
      </c>
      <c r="E60" s="7" t="n">
        <v>0.03</v>
      </c>
      <c r="F60" s="7" t="n">
        <v>0.03</v>
      </c>
      <c r="G60" s="7" t="n">
        <v>0.03</v>
      </c>
      <c r="H60" s="8" t="n">
        <v>0.03</v>
      </c>
      <c r="I60" s="8" t="n">
        <v>0.03</v>
      </c>
      <c r="J60" s="8" t="n">
        <v>0.03</v>
      </c>
      <c r="K60" s="8" t="n">
        <v>0.03</v>
      </c>
      <c r="L60" s="8" t="n">
        <v>0.03</v>
      </c>
    </row>
    <row r="61">
      <c r="A61" t="inlineStr">
        <is>
          <t>Debt maturity 1-2yr as % of total</t>
        </is>
      </c>
      <c r="B61" t="inlineStr">
        <is>
          <t>%</t>
        </is>
      </c>
      <c r="C61" s="7" t="n">
        <v>0.053</v>
      </c>
      <c r="D61" s="7" t="n">
        <v>0.049</v>
      </c>
      <c r="E61" s="7" t="n">
        <v>0.048</v>
      </c>
      <c r="F61" s="7" t="n">
        <v>0.047</v>
      </c>
      <c r="G61" s="7" t="n">
        <v>0.042</v>
      </c>
      <c r="H61" s="8" t="n">
        <v>0.05</v>
      </c>
      <c r="I61" s="8" t="n">
        <v>0.05</v>
      </c>
      <c r="J61" s="8" t="n">
        <v>0.05</v>
      </c>
      <c r="K61" s="8" t="n">
        <v>0.05</v>
      </c>
      <c r="L61" s="8" t="n">
        <v>0.05</v>
      </c>
    </row>
    <row r="62">
      <c r="A62" t="inlineStr">
        <is>
          <t>Debt maturity 2-5yr as % of total</t>
        </is>
      </c>
      <c r="B62" t="inlineStr">
        <is>
          <t>%</t>
        </is>
      </c>
      <c r="C62" s="7" t="n">
        <v>0.25</v>
      </c>
      <c r="D62" s="7" t="n">
        <v>0.22</v>
      </c>
      <c r="E62" s="7" t="n">
        <v>0.22</v>
      </c>
      <c r="F62" s="7" t="n">
        <v>0.26</v>
      </c>
      <c r="G62" s="7" t="n">
        <v>0.26</v>
      </c>
      <c r="H62" s="8" t="n">
        <v>0.26</v>
      </c>
      <c r="I62" s="8" t="n">
        <v>0.26</v>
      </c>
      <c r="J62" s="8" t="n">
        <v>0.26</v>
      </c>
      <c r="K62" s="8" t="n">
        <v>0.26</v>
      </c>
      <c r="L62" s="8" t="n">
        <v>0.26</v>
      </c>
    </row>
    <row r="63">
      <c r="A63" t="inlineStr">
        <is>
          <t>Capitalised borrowing costs factor</t>
        </is>
      </c>
      <c r="B63" t="inlineStr">
        <is>
          <t>%</t>
        </is>
      </c>
      <c r="C63" s="7" t="n">
        <v>0.15</v>
      </c>
      <c r="D63" s="7" t="n">
        <v>0.15</v>
      </c>
      <c r="E63" s="7" t="n">
        <v>0.15</v>
      </c>
      <c r="F63" s="7" t="n">
        <v>0.15</v>
      </c>
      <c r="G63" s="7" t="n">
        <v>0.15</v>
      </c>
      <c r="H63" s="8" t="n">
        <v>0.15</v>
      </c>
      <c r="I63" s="8" t="n">
        <v>0.15</v>
      </c>
      <c r="J63" s="8" t="n">
        <v>0.15</v>
      </c>
      <c r="K63" s="8" t="n">
        <v>0.15</v>
      </c>
      <c r="L63" s="8" t="n">
        <v>0.15</v>
      </c>
    </row>
    <row r="64">
      <c r="A64" t="inlineStr">
        <is>
          <t>Forecast non-deductible amortisation</t>
        </is>
      </c>
      <c r="B64" t="inlineStr">
        <is>
          <t>A$m</t>
        </is>
      </c>
      <c r="C64" s="9" t="n">
        <v>190</v>
      </c>
      <c r="D64" s="9" t="n">
        <v>190</v>
      </c>
      <c r="E64" s="9" t="n">
        <v>190</v>
      </c>
      <c r="F64" s="9" t="n">
        <v>190</v>
      </c>
      <c r="G64" s="9" t="n">
        <v>190</v>
      </c>
      <c r="H64" s="10" t="n">
        <v>190</v>
      </c>
      <c r="I64" s="10" t="n">
        <v>190</v>
      </c>
      <c r="J64" s="10" t="n">
        <v>190</v>
      </c>
      <c r="K64" s="10" t="n">
        <v>190</v>
      </c>
      <c r="L64" s="10" t="n">
        <v>190</v>
      </c>
    </row>
    <row r="65">
      <c r="A65" t="inlineStr">
        <is>
          <t>Forecast tax concessions</t>
        </is>
      </c>
      <c r="B65" t="inlineStr">
        <is>
          <t>A$m</t>
        </is>
      </c>
      <c r="C65" s="9" t="n">
        <v>-40</v>
      </c>
      <c r="D65" s="9" t="n">
        <v>-40</v>
      </c>
      <c r="E65" s="9" t="n">
        <v>-40</v>
      </c>
      <c r="F65" s="9" t="n">
        <v>-40</v>
      </c>
      <c r="G65" s="9" t="n">
        <v>-40</v>
      </c>
      <c r="H65" s="10" t="n">
        <v>-40</v>
      </c>
      <c r="I65" s="10" t="n">
        <v>-40</v>
      </c>
      <c r="J65" s="10" t="n">
        <v>-40</v>
      </c>
      <c r="K65" s="10" t="n">
        <v>-40</v>
      </c>
      <c r="L65" s="10" t="n">
        <v>-40</v>
      </c>
    </row>
    <row r="66">
      <c r="A66" t="inlineStr">
        <is>
          <t>Forecast other perm. differences</t>
        </is>
      </c>
      <c r="B66" t="inlineStr">
        <is>
          <t>A$m</t>
        </is>
      </c>
      <c r="C66" s="9" t="n">
        <v>8</v>
      </c>
      <c r="D66" s="9" t="n">
        <v>8</v>
      </c>
      <c r="E66" s="9" t="n">
        <v>8</v>
      </c>
      <c r="F66" s="9" t="n">
        <v>8</v>
      </c>
      <c r="G66" s="9" t="n">
        <v>8</v>
      </c>
      <c r="H66" s="10" t="n">
        <v>8</v>
      </c>
      <c r="I66" s="10" t="n">
        <v>8</v>
      </c>
      <c r="J66" s="10" t="n">
        <v>8</v>
      </c>
      <c r="K66" s="10" t="n">
        <v>8</v>
      </c>
      <c r="L66" s="10" t="n">
        <v>8</v>
      </c>
    </row>
    <row r="67">
      <c r="A67" t="inlineStr">
        <is>
          <t>Capital commitments multiple of capex</t>
        </is>
      </c>
      <c r="B67" t="inlineStr">
        <is>
          <t>x</t>
        </is>
      </c>
      <c r="C67" s="11" t="n">
        <v>1.2</v>
      </c>
      <c r="D67" s="11" t="n">
        <v>1.2</v>
      </c>
      <c r="E67" s="11" t="n">
        <v>1.2</v>
      </c>
      <c r="F67" s="11" t="n">
        <v>1.2</v>
      </c>
      <c r="G67" s="11" t="n">
        <v>1.2</v>
      </c>
      <c r="H67" s="12" t="n">
        <v>1.2</v>
      </c>
      <c r="I67" s="12" t="n">
        <v>1.2</v>
      </c>
      <c r="J67" s="12" t="n">
        <v>1.2</v>
      </c>
      <c r="K67" s="12" t="n">
        <v>1.2</v>
      </c>
      <c r="L67" s="12" t="n">
        <v>1.2</v>
      </c>
    </row>
    <row r="68">
      <c r="A68" t="inlineStr">
        <is>
          <t>Operating lease growth rate</t>
        </is>
      </c>
      <c r="B68" t="inlineStr">
        <is>
          <t>%</t>
        </is>
      </c>
      <c r="C68" s="7" t="n">
        <v>0.03</v>
      </c>
      <c r="D68" s="7" t="n">
        <v>0.03</v>
      </c>
      <c r="E68" s="7" t="n">
        <v>0.03</v>
      </c>
      <c r="F68" s="7" t="n">
        <v>0.03</v>
      </c>
      <c r="G68" s="7" t="n">
        <v>0.03</v>
      </c>
      <c r="H68" s="8" t="n">
        <v>0.03</v>
      </c>
      <c r="I68" s="8" t="n">
        <v>0.03</v>
      </c>
      <c r="J68" s="8" t="n">
        <v>0.03</v>
      </c>
      <c r="K68" s="8" t="n">
        <v>0.03</v>
      </c>
      <c r="L68" s="8" t="n">
        <v>0.03</v>
      </c>
    </row>
    <row r="69">
      <c r="A69" t="inlineStr">
        <is>
          <t>Forecast contingent liabilities</t>
        </is>
      </c>
      <c r="B69" t="inlineStr">
        <is>
          <t>A$m</t>
        </is>
      </c>
      <c r="C69" s="9" t="n">
        <v>170</v>
      </c>
      <c r="D69" s="9" t="n">
        <v>170</v>
      </c>
      <c r="E69" s="9" t="n">
        <v>170</v>
      </c>
      <c r="F69" s="9" t="n">
        <v>170</v>
      </c>
      <c r="G69" s="9" t="n">
        <v>170</v>
      </c>
      <c r="H69" s="10" t="n">
        <v>170</v>
      </c>
      <c r="I69" s="10" t="n">
        <v>170</v>
      </c>
      <c r="J69" s="10" t="n">
        <v>170</v>
      </c>
      <c r="K69" s="10" t="n">
        <v>170</v>
      </c>
      <c r="L69" s="10" t="n">
        <v>170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3" t="inlineStr">
        <is>
          <t>Transurban Group – Income Statement</t>
        </is>
      </c>
    </row>
    <row r="2">
      <c r="A2" s="2" t="inlineStr">
        <is>
          <t>A$ millions  |  Fiscal year ends 30 June</t>
        </is>
      </c>
    </row>
    <row r="4">
      <c r="A4" s="6" t="inlineStr">
        <is>
          <t>Income Statement</t>
        </is>
      </c>
      <c r="B4" s="6" t="inlineStr"/>
      <c r="C4" s="6" t="inlineStr">
        <is>
          <t>FY21</t>
        </is>
      </c>
      <c r="D4" s="6" t="inlineStr">
        <is>
          <t>FY22</t>
        </is>
      </c>
      <c r="E4" s="6" t="inlineStr">
        <is>
          <t>FY23</t>
        </is>
      </c>
      <c r="F4" s="6" t="inlineStr">
        <is>
          <t>FY24</t>
        </is>
      </c>
      <c r="G4" s="6" t="inlineStr">
        <is>
          <t>FY25</t>
        </is>
      </c>
      <c r="H4" s="6" t="inlineStr">
        <is>
          <t>FY26F</t>
        </is>
      </c>
      <c r="I4" s="6" t="inlineStr">
        <is>
          <t>FY27F</t>
        </is>
      </c>
      <c r="J4" s="6" t="inlineStr">
        <is>
          <t>FY28F</t>
        </is>
      </c>
      <c r="K4" s="6" t="inlineStr">
        <is>
          <t>FY29F</t>
        </is>
      </c>
      <c r="L4" s="6" t="inlineStr">
        <is>
          <t>FY30F</t>
        </is>
      </c>
    </row>
    <row r="5">
      <c r="A5" s="3" t="inlineStr">
        <is>
          <t>Revenue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t="inlineStr">
        <is>
          <t>Toll revenue</t>
        </is>
      </c>
      <c r="B6" t="inlineStr">
        <is>
          <t>A$m</t>
        </is>
      </c>
      <c r="C6" s="14" t="n">
        <v>2459</v>
      </c>
      <c r="D6" s="14" t="n">
        <v>2830</v>
      </c>
      <c r="E6" s="14" t="n">
        <v>3455</v>
      </c>
      <c r="F6" s="14" t="n">
        <v>3756</v>
      </c>
      <c r="G6" s="14" t="n">
        <v>3990</v>
      </c>
      <c r="H6" s="15">
        <f>G6*(1+Assumptions!H16)</f>
        <v/>
      </c>
      <c r="I6" s="15">
        <f>H6*(1+Assumptions!I16)</f>
        <v/>
      </c>
      <c r="J6" s="15">
        <f>I6*(1+Assumptions!J16)</f>
        <v/>
      </c>
      <c r="K6" s="15">
        <f>J6*(1+Assumptions!K16)</f>
        <v/>
      </c>
      <c r="L6" s="15">
        <f>K6*(1+Assumptions!L16)</f>
        <v/>
      </c>
    </row>
    <row r="7">
      <c r="A7" t="inlineStr">
        <is>
          <t>Other revenue</t>
        </is>
      </c>
      <c r="B7" t="inlineStr">
        <is>
          <t>A$m</t>
        </is>
      </c>
      <c r="C7" s="14" t="n">
        <v>319</v>
      </c>
      <c r="D7" s="14" t="n">
        <v>311</v>
      </c>
      <c r="E7" s="14" t="n">
        <v>332</v>
      </c>
      <c r="F7" s="14" t="n">
        <v>326</v>
      </c>
      <c r="G7" s="14" t="n">
        <v>360</v>
      </c>
      <c r="H7" s="15">
        <f>G7*(1+Assumptions!H18)</f>
        <v/>
      </c>
      <c r="I7" s="15">
        <f>H7*(1+Assumptions!I18)</f>
        <v/>
      </c>
      <c r="J7" s="15">
        <f>I7*(1+Assumptions!J18)</f>
        <v/>
      </c>
      <c r="K7" s="15">
        <f>J7*(1+Assumptions!K18)</f>
        <v/>
      </c>
      <c r="L7" s="15">
        <f>K7*(1+Assumptions!L18)</f>
        <v/>
      </c>
    </row>
    <row r="8">
      <c r="A8" s="16" t="inlineStr">
        <is>
          <t>Total Revenue</t>
        </is>
      </c>
      <c r="B8" s="16" t="inlineStr">
        <is>
          <t>A$m</t>
        </is>
      </c>
      <c r="C8" s="17" t="n">
        <v>2778</v>
      </c>
      <c r="D8" s="17" t="n">
        <v>3141</v>
      </c>
      <c r="E8" s="17" t="n">
        <v>3787</v>
      </c>
      <c r="F8" s="17" t="n">
        <v>4082</v>
      </c>
      <c r="G8" s="17" t="n">
        <v>4350</v>
      </c>
      <c r="H8" s="18">
        <f>H6+H7</f>
        <v/>
      </c>
      <c r="I8" s="18">
        <f>I6+I7</f>
        <v/>
      </c>
      <c r="J8" s="18">
        <f>J6+J7</f>
        <v/>
      </c>
      <c r="K8" s="18">
        <f>K6+K7</f>
        <v/>
      </c>
      <c r="L8" s="18">
        <f>L6+L7</f>
        <v/>
      </c>
    </row>
    <row r="9">
      <c r="A9" t="inlineStr"/>
      <c r="H9" s="19" t="n"/>
      <c r="I9" s="19" t="n"/>
      <c r="J9" s="19" t="n"/>
      <c r="K9" s="19" t="n"/>
      <c r="L9" s="19" t="n"/>
    </row>
    <row r="10">
      <c r="A10" s="3" t="inlineStr">
        <is>
          <t>Operating Expenses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t="inlineStr">
        <is>
          <t>Employee costs</t>
        </is>
      </c>
      <c r="B11" t="inlineStr">
        <is>
          <t>A$m</t>
        </is>
      </c>
      <c r="C11" s="14" t="n">
        <v>-236</v>
      </c>
      <c r="D11" s="14" t="n">
        <v>-251</v>
      </c>
      <c r="E11" s="14" t="n">
        <v>-280</v>
      </c>
      <c r="F11" s="14" t="n">
        <v>-298</v>
      </c>
      <c r="G11" s="14" t="n">
        <v>-313</v>
      </c>
      <c r="H11" s="15">
        <f>-H8*Assumptions!H22*Assumptions!H24</f>
        <v/>
      </c>
      <c r="I11" s="15">
        <f>-I8*Assumptions!I22*Assumptions!I24</f>
        <v/>
      </c>
      <c r="J11" s="15">
        <f>-J8*Assumptions!J22*Assumptions!J24</f>
        <v/>
      </c>
      <c r="K11" s="15">
        <f>-K8*Assumptions!K22*Assumptions!K24</f>
        <v/>
      </c>
      <c r="L11" s="15">
        <f>-L8*Assumptions!L22*Assumptions!L24</f>
        <v/>
      </c>
    </row>
    <row r="12">
      <c r="A12" t="inlineStr">
        <is>
          <t>Road operating costs</t>
        </is>
      </c>
      <c r="B12" t="inlineStr">
        <is>
          <t>A$m</t>
        </is>
      </c>
      <c r="C12" s="14" t="n">
        <v>-340</v>
      </c>
      <c r="D12" s="14" t="n">
        <v>-333</v>
      </c>
      <c r="E12" s="14" t="n">
        <v>-380</v>
      </c>
      <c r="F12" s="14" t="n">
        <v>-395</v>
      </c>
      <c r="G12" s="14" t="n">
        <v>-418</v>
      </c>
      <c r="H12" s="15">
        <f>-H8*Assumptions!H22*Assumptions!H25</f>
        <v/>
      </c>
      <c r="I12" s="15">
        <f>-I8*Assumptions!I22*Assumptions!I25</f>
        <v/>
      </c>
      <c r="J12" s="15">
        <f>-J8*Assumptions!J22*Assumptions!J25</f>
        <v/>
      </c>
      <c r="K12" s="15">
        <f>-K8*Assumptions!K22*Assumptions!K25</f>
        <v/>
      </c>
      <c r="L12" s="15">
        <f>-L8*Assumptions!L22*Assumptions!L25</f>
        <v/>
      </c>
    </row>
    <row r="13">
      <c r="A13" t="inlineStr">
        <is>
          <t>Corporate &amp; admin costs</t>
        </is>
      </c>
      <c r="B13" t="inlineStr">
        <is>
          <t>A$m</t>
        </is>
      </c>
      <c r="C13" s="14" t="n">
        <v>-401</v>
      </c>
      <c r="D13" s="14" t="n">
        <v>-436</v>
      </c>
      <c r="E13" s="14" t="n">
        <v>-535</v>
      </c>
      <c r="F13" s="14" t="n">
        <v>-562</v>
      </c>
      <c r="G13" s="14" t="n">
        <v>-608</v>
      </c>
      <c r="H13" s="15">
        <f>-H8*Assumptions!H22-H11-H12</f>
        <v/>
      </c>
      <c r="I13" s="15">
        <f>-I8*Assumptions!I22-I11-I12</f>
        <v/>
      </c>
      <c r="J13" s="15">
        <f>-J8*Assumptions!J22-J11-J12</f>
        <v/>
      </c>
      <c r="K13" s="15">
        <f>-K8*Assumptions!K22-K11-K12</f>
        <v/>
      </c>
      <c r="L13" s="15">
        <f>-L8*Assumptions!L22-L11-L12</f>
        <v/>
      </c>
    </row>
    <row r="14">
      <c r="A14" s="16" t="inlineStr">
        <is>
          <t>Total Operating Expenses</t>
        </is>
      </c>
      <c r="B14" s="16" t="inlineStr">
        <is>
          <t>A$m</t>
        </is>
      </c>
      <c r="C14" s="17" t="n">
        <v>-977</v>
      </c>
      <c r="D14" s="17" t="n">
        <v>-1020</v>
      </c>
      <c r="E14" s="17" t="n">
        <v>-1195</v>
      </c>
      <c r="F14" s="17" t="n">
        <v>-1255</v>
      </c>
      <c r="G14" s="17" t="n">
        <v>-1339</v>
      </c>
      <c r="H14" s="18">
        <f>H11+H12+H13</f>
        <v/>
      </c>
      <c r="I14" s="18">
        <f>I11+I12+I13</f>
        <v/>
      </c>
      <c r="J14" s="18">
        <f>J11+J12+J13</f>
        <v/>
      </c>
      <c r="K14" s="18">
        <f>K11+K12+K13</f>
        <v/>
      </c>
      <c r="L14" s="18">
        <f>L11+L12+L13</f>
        <v/>
      </c>
    </row>
    <row r="15">
      <c r="A15" t="inlineStr"/>
      <c r="H15" s="19" t="n"/>
      <c r="I15" s="19" t="n"/>
      <c r="J15" s="19" t="n"/>
      <c r="K15" s="19" t="n"/>
      <c r="L15" s="19" t="n"/>
    </row>
    <row r="16">
      <c r="A16" s="16" t="inlineStr">
        <is>
          <t>EBITDA</t>
        </is>
      </c>
      <c r="B16" s="16" t="inlineStr">
        <is>
          <t>A$m</t>
        </is>
      </c>
      <c r="C16" s="17" t="n">
        <v>1801</v>
      </c>
      <c r="D16" s="17" t="n">
        <v>2121</v>
      </c>
      <c r="E16" s="17" t="n">
        <v>2592</v>
      </c>
      <c r="F16" s="17" t="n">
        <v>2827</v>
      </c>
      <c r="G16" s="17" t="n">
        <v>3011</v>
      </c>
      <c r="H16" s="18">
        <f>H8+H14</f>
        <v/>
      </c>
      <c r="I16" s="18">
        <f>I8+I14</f>
        <v/>
      </c>
      <c r="J16" s="18">
        <f>J8+J14</f>
        <v/>
      </c>
      <c r="K16" s="18">
        <f>K8+K14</f>
        <v/>
      </c>
      <c r="L16" s="18">
        <f>L8+L14</f>
        <v/>
      </c>
    </row>
    <row r="17">
      <c r="A17" t="inlineStr">
        <is>
          <t>Depreciation &amp; amortisation</t>
        </is>
      </c>
      <c r="B17" t="inlineStr">
        <is>
          <t>A$m</t>
        </is>
      </c>
      <c r="C17" s="14" t="n">
        <v>-856</v>
      </c>
      <c r="D17" s="14" t="n">
        <v>-880</v>
      </c>
      <c r="E17" s="14" t="n">
        <v>-905</v>
      </c>
      <c r="F17" s="14" t="n">
        <v>-930</v>
      </c>
      <c r="G17" s="14" t="n">
        <v>-958</v>
      </c>
      <c r="H17" s="15">
        <f>-'Balance Sheet'!G17*Assumptions!H29</f>
        <v/>
      </c>
      <c r="I17" s="15">
        <f>-'Balance Sheet'!H17*Assumptions!I29</f>
        <v/>
      </c>
      <c r="J17" s="15">
        <f>-'Balance Sheet'!I17*Assumptions!J29</f>
        <v/>
      </c>
      <c r="K17" s="15">
        <f>-'Balance Sheet'!J17*Assumptions!K29</f>
        <v/>
      </c>
      <c r="L17" s="15">
        <f>-'Balance Sheet'!K17*Assumptions!L29</f>
        <v/>
      </c>
    </row>
    <row r="18">
      <c r="A18" s="16" t="inlineStr">
        <is>
          <t>EBIT</t>
        </is>
      </c>
      <c r="B18" s="16" t="inlineStr">
        <is>
          <t>A$m</t>
        </is>
      </c>
      <c r="C18" s="17" t="n">
        <v>945</v>
      </c>
      <c r="D18" s="17" t="n">
        <v>1241</v>
      </c>
      <c r="E18" s="17" t="n">
        <v>1687</v>
      </c>
      <c r="F18" s="17" t="n">
        <v>1897</v>
      </c>
      <c r="G18" s="17" t="n">
        <v>2053</v>
      </c>
      <c r="H18" s="18">
        <f>H16+H17</f>
        <v/>
      </c>
      <c r="I18" s="18">
        <f>I16+I17</f>
        <v/>
      </c>
      <c r="J18" s="18">
        <f>J16+J17</f>
        <v/>
      </c>
      <c r="K18" s="18">
        <f>K16+K17</f>
        <v/>
      </c>
      <c r="L18" s="18">
        <f>L16+L17</f>
        <v/>
      </c>
    </row>
    <row r="19">
      <c r="A19" t="inlineStr"/>
      <c r="H19" s="19" t="n"/>
      <c r="I19" s="19" t="n"/>
      <c r="J19" s="19" t="n"/>
      <c r="K19" s="19" t="n"/>
      <c r="L19" s="19" t="n"/>
    </row>
    <row r="20">
      <c r="A20" t="inlineStr">
        <is>
          <t>Net finance costs</t>
        </is>
      </c>
      <c r="B20" t="inlineStr">
        <is>
          <t>A$m</t>
        </is>
      </c>
      <c r="C20" s="14" t="n">
        <v>-907</v>
      </c>
      <c r="D20" s="14" t="n">
        <v>-821</v>
      </c>
      <c r="E20" s="14" t="n">
        <v>-963</v>
      </c>
      <c r="F20" s="14" t="n">
        <v>-1093</v>
      </c>
      <c r="G20" s="14" t="n">
        <v>-1150</v>
      </c>
      <c r="H20" s="15">
        <f>-'Balance Sheet'!G32*Assumptions!H35</f>
        <v/>
      </c>
      <c r="I20" s="15">
        <f>-'Balance Sheet'!H32*Assumptions!I35</f>
        <v/>
      </c>
      <c r="J20" s="15">
        <f>-'Balance Sheet'!I32*Assumptions!J35</f>
        <v/>
      </c>
      <c r="K20" s="15">
        <f>-'Balance Sheet'!J32*Assumptions!K35</f>
        <v/>
      </c>
      <c r="L20" s="15">
        <f>-'Balance Sheet'!K32*Assumptions!L35</f>
        <v/>
      </c>
    </row>
    <row r="21">
      <c r="A21" s="16" t="inlineStr">
        <is>
          <t>Profit / (Loss) before tax</t>
        </is>
      </c>
      <c r="B21" s="16" t="inlineStr">
        <is>
          <t>A$m</t>
        </is>
      </c>
      <c r="C21" s="17" t="n">
        <v>38</v>
      </c>
      <c r="D21" s="17" t="n">
        <v>420</v>
      </c>
      <c r="E21" s="17" t="n">
        <v>724</v>
      </c>
      <c r="F21" s="17" t="n">
        <v>804</v>
      </c>
      <c r="G21" s="17" t="n">
        <v>903</v>
      </c>
      <c r="H21" s="18">
        <f>H18+H20</f>
        <v/>
      </c>
      <c r="I21" s="18">
        <f>I18+I20</f>
        <v/>
      </c>
      <c r="J21" s="18">
        <f>J18+J20</f>
        <v/>
      </c>
      <c r="K21" s="18">
        <f>K18+K20</f>
        <v/>
      </c>
      <c r="L21" s="18">
        <f>L18+L20</f>
        <v/>
      </c>
    </row>
    <row r="22">
      <c r="A22" t="inlineStr">
        <is>
          <t>Income tax (expense) / benefit</t>
        </is>
      </c>
      <c r="B22" t="inlineStr">
        <is>
          <t>A$m</t>
        </is>
      </c>
      <c r="C22" s="14" t="n">
        <v>7</v>
      </c>
      <c r="D22" s="14" t="n">
        <v>-141</v>
      </c>
      <c r="E22" s="14" t="n">
        <v>-270</v>
      </c>
      <c r="F22" s="14" t="n">
        <v>-249</v>
      </c>
      <c r="G22" s="14" t="n">
        <v>-282</v>
      </c>
      <c r="H22" s="15">
        <f>-H21*Assumptions!H37</f>
        <v/>
      </c>
      <c r="I22" s="15">
        <f>-I21*Assumptions!I37</f>
        <v/>
      </c>
      <c r="J22" s="15">
        <f>-J21*Assumptions!J37</f>
        <v/>
      </c>
      <c r="K22" s="15">
        <f>-K21*Assumptions!K37</f>
        <v/>
      </c>
      <c r="L22" s="15">
        <f>-L21*Assumptions!L37</f>
        <v/>
      </c>
    </row>
    <row r="23">
      <c r="A23" s="16" t="inlineStr">
        <is>
          <t>Net Profit / (Loss) After Tax</t>
        </is>
      </c>
      <c r="B23" s="16" t="inlineStr">
        <is>
          <t>A$m</t>
        </is>
      </c>
      <c r="C23" s="17" t="n">
        <v>45</v>
      </c>
      <c r="D23" s="17" t="n">
        <v>279</v>
      </c>
      <c r="E23" s="17" t="n">
        <v>454</v>
      </c>
      <c r="F23" s="17" t="n">
        <v>555</v>
      </c>
      <c r="G23" s="17" t="n">
        <v>621</v>
      </c>
      <c r="H23" s="18">
        <f>H21+H22</f>
        <v/>
      </c>
      <c r="I23" s="18">
        <f>I21+I22</f>
        <v/>
      </c>
      <c r="J23" s="18">
        <f>J21+J22</f>
        <v/>
      </c>
      <c r="K23" s="18">
        <f>K21+K22</f>
        <v/>
      </c>
      <c r="L23" s="18">
        <f>L21+L22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3" t="inlineStr">
        <is>
          <t>Transurban Group – Balance Sheet</t>
        </is>
      </c>
    </row>
    <row r="2">
      <c r="A2" s="2" t="inlineStr">
        <is>
          <t>A$ millions  |  As at 30 June</t>
        </is>
      </c>
    </row>
    <row r="4">
      <c r="A4" s="6" t="inlineStr">
        <is>
          <t>Balance Sheet</t>
        </is>
      </c>
      <c r="B4" s="6" t="n"/>
      <c r="C4" s="6" t="inlineStr">
        <is>
          <t>FY21</t>
        </is>
      </c>
      <c r="D4" s="6" t="inlineStr">
        <is>
          <t>FY22</t>
        </is>
      </c>
      <c r="E4" s="6" t="inlineStr">
        <is>
          <t>FY23</t>
        </is>
      </c>
      <c r="F4" s="6" t="inlineStr">
        <is>
          <t>FY24</t>
        </is>
      </c>
      <c r="G4" s="6" t="inlineStr">
        <is>
          <t>FY25</t>
        </is>
      </c>
      <c r="H4" s="6" t="inlineStr">
        <is>
          <t>FY26F</t>
        </is>
      </c>
      <c r="I4" s="6" t="inlineStr">
        <is>
          <t>FY27F</t>
        </is>
      </c>
      <c r="J4" s="6" t="inlineStr">
        <is>
          <t>FY28F</t>
        </is>
      </c>
      <c r="K4" s="6" t="inlineStr">
        <is>
          <t>FY29F</t>
        </is>
      </c>
      <c r="L4" s="6" t="inlineStr">
        <is>
          <t>FY30F</t>
        </is>
      </c>
    </row>
    <row r="5">
      <c r="A5" s="3" t="inlineStr">
        <is>
          <t>ASSETS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inlineStr">
        <is>
          <t>Current Assets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t="inlineStr">
        <is>
          <t>Cash &amp; cash equivalents</t>
        </is>
      </c>
      <c r="B7" t="inlineStr">
        <is>
          <t>A$m</t>
        </is>
      </c>
      <c r="C7" s="14" t="n">
        <v>2548</v>
      </c>
      <c r="D7" s="14" t="n">
        <v>3145</v>
      </c>
      <c r="E7" s="14" t="n">
        <v>2780</v>
      </c>
      <c r="F7" s="14" t="n">
        <v>2350</v>
      </c>
      <c r="G7" s="14" t="n">
        <v>2520</v>
      </c>
      <c r="H7" s="15">
        <f>'Cash Flow Statement'!H26</f>
        <v/>
      </c>
      <c r="I7" s="15">
        <f>'Cash Flow Statement'!I26</f>
        <v/>
      </c>
      <c r="J7" s="15">
        <f>'Cash Flow Statement'!J26</f>
        <v/>
      </c>
      <c r="K7" s="15">
        <f>'Cash Flow Statement'!K26</f>
        <v/>
      </c>
      <c r="L7" s="15">
        <f>'Cash Flow Statement'!L26</f>
        <v/>
      </c>
    </row>
    <row r="8">
      <c r="A8" t="inlineStr">
        <is>
          <t>Trade &amp; other receivables</t>
        </is>
      </c>
      <c r="B8" t="inlineStr">
        <is>
          <t>A$m</t>
        </is>
      </c>
      <c r="C8" s="14" t="n">
        <v>213</v>
      </c>
      <c r="D8" s="14" t="n">
        <v>224</v>
      </c>
      <c r="E8" s="14" t="n">
        <v>260</v>
      </c>
      <c r="F8" s="14" t="n">
        <v>269</v>
      </c>
      <c r="G8" s="14" t="n">
        <v>286</v>
      </c>
      <c r="H8" s="15">
        <f>'Income Statement'!H8/365*Assumptions!H44</f>
        <v/>
      </c>
      <c r="I8" s="15">
        <f>'Income Statement'!I8/365*Assumptions!I44</f>
        <v/>
      </c>
      <c r="J8" s="15">
        <f>'Income Statement'!J8/365*Assumptions!J44</f>
        <v/>
      </c>
      <c r="K8" s="15">
        <f>'Income Statement'!K8/365*Assumptions!K44</f>
        <v/>
      </c>
      <c r="L8" s="15">
        <f>'Income Statement'!L8/365*Assumptions!L44</f>
        <v/>
      </c>
    </row>
    <row r="9">
      <c r="A9" t="inlineStr">
        <is>
          <t>Other current assets</t>
        </is>
      </c>
      <c r="B9" t="inlineStr">
        <is>
          <t>A$m</t>
        </is>
      </c>
      <c r="C9" s="14" t="n">
        <v>195</v>
      </c>
      <c r="D9" s="14" t="n">
        <v>210</v>
      </c>
      <c r="E9" s="14" t="n">
        <v>225</v>
      </c>
      <c r="F9" s="14" t="n">
        <v>230</v>
      </c>
      <c r="G9" s="14" t="n">
        <v>240</v>
      </c>
      <c r="H9" s="15">
        <f>G9*(1+Assumptions!H46)</f>
        <v/>
      </c>
      <c r="I9" s="15">
        <f>H9*(1+Assumptions!I46)</f>
        <v/>
      </c>
      <c r="J9" s="15">
        <f>I9*(1+Assumptions!J46)</f>
        <v/>
      </c>
      <c r="K9" s="15">
        <f>J9*(1+Assumptions!K46)</f>
        <v/>
      </c>
      <c r="L9" s="15">
        <f>K9*(1+Assumptions!L46)</f>
        <v/>
      </c>
    </row>
    <row r="10">
      <c r="A10" s="16" t="inlineStr">
        <is>
          <t>Total Current Assets</t>
        </is>
      </c>
      <c r="B10" s="16" t="inlineStr">
        <is>
          <t>A$m</t>
        </is>
      </c>
      <c r="C10" s="17" t="n">
        <v>2956</v>
      </c>
      <c r="D10" s="17" t="n">
        <v>3579</v>
      </c>
      <c r="E10" s="17" t="n">
        <v>3265</v>
      </c>
      <c r="F10" s="17" t="n">
        <v>2849</v>
      </c>
      <c r="G10" s="17" t="n">
        <v>3046</v>
      </c>
      <c r="H10" s="18">
        <f>H7+H8+H9</f>
        <v/>
      </c>
      <c r="I10" s="18">
        <f>I7+I8+I9</f>
        <v/>
      </c>
      <c r="J10" s="18">
        <f>J7+J8+J9</f>
        <v/>
      </c>
      <c r="K10" s="18">
        <f>K7+K8+K9</f>
        <v/>
      </c>
      <c r="L10" s="18">
        <f>L7+L8+L9</f>
        <v/>
      </c>
    </row>
    <row r="11">
      <c r="A11" t="inlineStr"/>
      <c r="H11" s="19" t="n"/>
      <c r="I11" s="19" t="n"/>
      <c r="J11" s="19" t="n"/>
      <c r="K11" s="19" t="n"/>
      <c r="L11" s="19" t="n"/>
    </row>
    <row r="12">
      <c r="A12" s="3" t="inlineStr">
        <is>
          <t>Non-Current Assets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t="inlineStr">
        <is>
          <t>Property, plant &amp; equipment</t>
        </is>
      </c>
      <c r="B13" t="inlineStr">
        <is>
          <t>A$m</t>
        </is>
      </c>
      <c r="C13" s="14" t="n">
        <v>6125</v>
      </c>
      <c r="D13" s="14" t="n">
        <v>6850</v>
      </c>
      <c r="E13" s="14" t="n">
        <v>7900</v>
      </c>
      <c r="F13" s="14" t="n">
        <v>8100</v>
      </c>
      <c r="G13" s="14" t="n">
        <v>8050</v>
      </c>
      <c r="H13" s="15">
        <f>G13+Assumptions!H43+'Income Statement'!H17*Assumptions!H30</f>
        <v/>
      </c>
      <c r="I13" s="15">
        <f>H13+Assumptions!I43+'Income Statement'!I17*Assumptions!I30</f>
        <v/>
      </c>
      <c r="J13" s="15">
        <f>I13+Assumptions!J43+'Income Statement'!J17*Assumptions!J30</f>
        <v/>
      </c>
      <c r="K13" s="15">
        <f>J13+Assumptions!K43+'Income Statement'!K17*Assumptions!K30</f>
        <v/>
      </c>
      <c r="L13" s="15">
        <f>K13+Assumptions!L43+'Income Statement'!L17*Assumptions!L30</f>
        <v/>
      </c>
    </row>
    <row r="14">
      <c r="A14" t="inlineStr">
        <is>
          <t>Intangible assets (concessions)</t>
        </is>
      </c>
      <c r="B14" t="inlineStr">
        <is>
          <t>A$m</t>
        </is>
      </c>
      <c r="C14" s="14" t="n">
        <v>22450</v>
      </c>
      <c r="D14" s="14" t="n">
        <v>23100</v>
      </c>
      <c r="E14" s="14" t="n">
        <v>24200</v>
      </c>
      <c r="F14" s="14" t="n">
        <v>24650</v>
      </c>
      <c r="G14" s="14" t="n">
        <v>24800</v>
      </c>
      <c r="H14" s="15">
        <f>G14+'Income Statement'!H17*Assumptions!H31</f>
        <v/>
      </c>
      <c r="I14" s="15">
        <f>H14+'Income Statement'!I17*Assumptions!I31</f>
        <v/>
      </c>
      <c r="J14" s="15">
        <f>I14+'Income Statement'!J17*Assumptions!J31</f>
        <v/>
      </c>
      <c r="K14" s="15">
        <f>J14+'Income Statement'!K17*Assumptions!K31</f>
        <v/>
      </c>
      <c r="L14" s="15">
        <f>K14+'Income Statement'!L17*Assumptions!L31</f>
        <v/>
      </c>
    </row>
    <row r="15">
      <c r="A15" t="inlineStr">
        <is>
          <t>Investments in joint ventures</t>
        </is>
      </c>
      <c r="B15" t="inlineStr">
        <is>
          <t>A$m</t>
        </is>
      </c>
      <c r="C15" s="14" t="n">
        <v>1820</v>
      </c>
      <c r="D15" s="14" t="n">
        <v>1750</v>
      </c>
      <c r="E15" s="14" t="n">
        <v>1680</v>
      </c>
      <c r="F15" s="14" t="n">
        <v>1620</v>
      </c>
      <c r="G15" s="14" t="n">
        <v>1580</v>
      </c>
      <c r="H15" s="15">
        <f>G15*(1+Assumptions!H47)</f>
        <v/>
      </c>
      <c r="I15" s="15">
        <f>H15*(1+Assumptions!I47)</f>
        <v/>
      </c>
      <c r="J15" s="15">
        <f>I15*(1+Assumptions!J47)</f>
        <v/>
      </c>
      <c r="K15" s="15">
        <f>J15*(1+Assumptions!K47)</f>
        <v/>
      </c>
      <c r="L15" s="15">
        <f>K15*(1+Assumptions!L47)</f>
        <v/>
      </c>
    </row>
    <row r="16">
      <c r="A16" t="inlineStr">
        <is>
          <t>Other non-current assets</t>
        </is>
      </c>
      <c r="B16" t="inlineStr">
        <is>
          <t>A$m</t>
        </is>
      </c>
      <c r="C16" s="14" t="n">
        <v>1250</v>
      </c>
      <c r="D16" s="14" t="n">
        <v>1380</v>
      </c>
      <c r="E16" s="14" t="n">
        <v>1520</v>
      </c>
      <c r="F16" s="14" t="n">
        <v>1580</v>
      </c>
      <c r="G16" s="14" t="n">
        <v>1620</v>
      </c>
      <c r="H16" s="15">
        <f>G16*(1+Assumptions!H48)</f>
        <v/>
      </c>
      <c r="I16" s="15">
        <f>H16*(1+Assumptions!I48)</f>
        <v/>
      </c>
      <c r="J16" s="15">
        <f>I16*(1+Assumptions!J48)</f>
        <v/>
      </c>
      <c r="K16" s="15">
        <f>J16*(1+Assumptions!K48)</f>
        <v/>
      </c>
      <c r="L16" s="15">
        <f>K16*(1+Assumptions!L48)</f>
        <v/>
      </c>
    </row>
    <row r="17">
      <c r="A17" s="16" t="inlineStr">
        <is>
          <t>Total Non-Current Assets</t>
        </is>
      </c>
      <c r="B17" s="16" t="inlineStr">
        <is>
          <t>A$m</t>
        </is>
      </c>
      <c r="C17" s="17" t="n">
        <v>31645</v>
      </c>
      <c r="D17" s="17" t="n">
        <v>33080</v>
      </c>
      <c r="E17" s="17" t="n">
        <v>35300</v>
      </c>
      <c r="F17" s="17" t="n">
        <v>35950</v>
      </c>
      <c r="G17" s="17" t="n">
        <v>36050</v>
      </c>
      <c r="H17" s="18">
        <f>H13+H14+H15+H16</f>
        <v/>
      </c>
      <c r="I17" s="18">
        <f>I13+I14+I15+I16</f>
        <v/>
      </c>
      <c r="J17" s="18">
        <f>J13+J14+J15+J16</f>
        <v/>
      </c>
      <c r="K17" s="18">
        <f>K13+K14+K15+K16</f>
        <v/>
      </c>
      <c r="L17" s="18">
        <f>L13+L14+L15+L16</f>
        <v/>
      </c>
    </row>
    <row r="18">
      <c r="A18" t="inlineStr"/>
      <c r="H18" s="19" t="n"/>
      <c r="I18" s="19" t="n"/>
      <c r="J18" s="19" t="n"/>
      <c r="K18" s="19" t="n"/>
      <c r="L18" s="19" t="n"/>
    </row>
    <row r="19">
      <c r="A19" s="16" t="inlineStr">
        <is>
          <t>Total Assets</t>
        </is>
      </c>
      <c r="B19" s="16" t="inlineStr">
        <is>
          <t>A$m</t>
        </is>
      </c>
      <c r="C19" s="17" t="n">
        <v>34601</v>
      </c>
      <c r="D19" s="17" t="n">
        <v>36659</v>
      </c>
      <c r="E19" s="17" t="n">
        <v>38565</v>
      </c>
      <c r="F19" s="17" t="n">
        <v>38799</v>
      </c>
      <c r="G19" s="17" t="n">
        <v>39096</v>
      </c>
      <c r="H19" s="18">
        <f>H10+H17</f>
        <v/>
      </c>
      <c r="I19" s="18">
        <f>I10+I17</f>
        <v/>
      </c>
      <c r="J19" s="18">
        <f>J10+J17</f>
        <v/>
      </c>
      <c r="K19" s="18">
        <f>K10+K17</f>
        <v/>
      </c>
      <c r="L19" s="18">
        <f>L10+L17</f>
        <v/>
      </c>
    </row>
    <row r="20">
      <c r="A20" t="inlineStr"/>
      <c r="H20" s="19" t="n"/>
      <c r="I20" s="19" t="n"/>
      <c r="J20" s="19" t="n"/>
      <c r="K20" s="19" t="n"/>
      <c r="L20" s="19" t="n"/>
    </row>
    <row r="21">
      <c r="A21" s="3" t="inlineStr">
        <is>
          <t>LIABILITIES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inlineStr">
        <is>
          <t>Current Liabilities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t="inlineStr">
        <is>
          <t>Trade &amp; other payables</t>
        </is>
      </c>
      <c r="B23" t="inlineStr">
        <is>
          <t>A$m</t>
        </is>
      </c>
      <c r="C23" s="14" t="n">
        <v>485</v>
      </c>
      <c r="D23" s="14" t="n">
        <v>510</v>
      </c>
      <c r="E23" s="14" t="n">
        <v>555</v>
      </c>
      <c r="F23" s="14" t="n">
        <v>530</v>
      </c>
      <c r="G23" s="14" t="n">
        <v>550</v>
      </c>
      <c r="H23" s="15">
        <f>-'Income Statement'!H14/365*Assumptions!H45</f>
        <v/>
      </c>
      <c r="I23" s="15">
        <f>-'Income Statement'!I14/365*Assumptions!I45</f>
        <v/>
      </c>
      <c r="J23" s="15">
        <f>-'Income Statement'!J14/365*Assumptions!J45</f>
        <v/>
      </c>
      <c r="K23" s="15">
        <f>-'Income Statement'!K14/365*Assumptions!K45</f>
        <v/>
      </c>
      <c r="L23" s="15">
        <f>-'Income Statement'!L14/365*Assumptions!L45</f>
        <v/>
      </c>
    </row>
    <row r="24">
      <c r="A24" t="inlineStr">
        <is>
          <t>Current borrowings</t>
        </is>
      </c>
      <c r="B24" t="inlineStr">
        <is>
          <t>A$m</t>
        </is>
      </c>
      <c r="C24" s="14" t="n">
        <v>1250</v>
      </c>
      <c r="D24" s="14" t="n">
        <v>1400</v>
      </c>
      <c r="E24" s="14" t="n">
        <v>1600</v>
      </c>
      <c r="F24" s="14" t="n">
        <v>1300</v>
      </c>
      <c r="G24" s="14" t="n">
        <v>1200</v>
      </c>
      <c r="H24" s="15">
        <f>(G32+Assumptions!H55)*Assumptions!H39</f>
        <v/>
      </c>
      <c r="I24" s="15">
        <f>(H32+Assumptions!I55)*Assumptions!I39</f>
        <v/>
      </c>
      <c r="J24" s="15">
        <f>(I32+Assumptions!J55)*Assumptions!J39</f>
        <v/>
      </c>
      <c r="K24" s="15">
        <f>(J32+Assumptions!K55)*Assumptions!K39</f>
        <v/>
      </c>
      <c r="L24" s="15">
        <f>(K32+Assumptions!L55)*Assumptions!L39</f>
        <v/>
      </c>
    </row>
    <row r="25">
      <c r="A25" t="inlineStr">
        <is>
          <t>Other current liabilities</t>
        </is>
      </c>
      <c r="B25" t="inlineStr">
        <is>
          <t>A$m</t>
        </is>
      </c>
      <c r="C25" s="14" t="n">
        <v>580</v>
      </c>
      <c r="D25" s="14" t="n">
        <v>620</v>
      </c>
      <c r="E25" s="14" t="n">
        <v>680</v>
      </c>
      <c r="F25" s="14" t="n">
        <v>710</v>
      </c>
      <c r="G25" s="14" t="n">
        <v>740</v>
      </c>
      <c r="H25" s="15">
        <f>G25*(1+Assumptions!H49)</f>
        <v/>
      </c>
      <c r="I25" s="15">
        <f>H25*(1+Assumptions!I49)</f>
        <v/>
      </c>
      <c r="J25" s="15">
        <f>I25*(1+Assumptions!J49)</f>
        <v/>
      </c>
      <c r="K25" s="15">
        <f>J25*(1+Assumptions!K49)</f>
        <v/>
      </c>
      <c r="L25" s="15">
        <f>K25*(1+Assumptions!L49)</f>
        <v/>
      </c>
    </row>
    <row r="26">
      <c r="A26" s="16" t="inlineStr">
        <is>
          <t>Total Current Liabilities</t>
        </is>
      </c>
      <c r="B26" s="16" t="inlineStr">
        <is>
          <t>A$m</t>
        </is>
      </c>
      <c r="C26" s="17" t="n">
        <v>2315</v>
      </c>
      <c r="D26" s="17" t="n">
        <v>2530</v>
      </c>
      <c r="E26" s="17" t="n">
        <v>2835</v>
      </c>
      <c r="F26" s="17" t="n">
        <v>2540</v>
      </c>
      <c r="G26" s="17" t="n">
        <v>2490</v>
      </c>
      <c r="H26" s="18">
        <f>H23+H24+H25</f>
        <v/>
      </c>
      <c r="I26" s="18">
        <f>I23+I24+I25</f>
        <v/>
      </c>
      <c r="J26" s="18">
        <f>J23+J24+J25</f>
        <v/>
      </c>
      <c r="K26" s="18">
        <f>K23+K24+K25</f>
        <v/>
      </c>
      <c r="L26" s="18">
        <f>L23+L24+L25</f>
        <v/>
      </c>
    </row>
    <row r="27">
      <c r="A27" t="inlineStr"/>
      <c r="H27" s="19" t="n"/>
      <c r="I27" s="19" t="n"/>
      <c r="J27" s="19" t="n"/>
      <c r="K27" s="19" t="n"/>
      <c r="L27" s="19" t="n"/>
    </row>
    <row r="28">
      <c r="A28" s="3" t="inlineStr">
        <is>
          <t>Non-Current Liabilities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t="inlineStr">
        <is>
          <t>Non-current borrowings</t>
        </is>
      </c>
      <c r="B29" t="inlineStr">
        <is>
          <t>A$m</t>
        </is>
      </c>
      <c r="C29" s="14" t="n">
        <v>19580</v>
      </c>
      <c r="D29" s="14" t="n">
        <v>21230</v>
      </c>
      <c r="E29" s="14" t="n">
        <v>23430</v>
      </c>
      <c r="F29" s="14" t="n">
        <v>23730</v>
      </c>
      <c r="G29" s="14" t="n">
        <v>23830</v>
      </c>
      <c r="H29" s="15">
        <f>G32+Assumptions!H55-H24</f>
        <v/>
      </c>
      <c r="I29" s="15">
        <f>H32+Assumptions!I55-I24</f>
        <v/>
      </c>
      <c r="J29" s="15">
        <f>I32+Assumptions!J55-J24</f>
        <v/>
      </c>
      <c r="K29" s="15">
        <f>J32+Assumptions!K55-K24</f>
        <v/>
      </c>
      <c r="L29" s="15">
        <f>K32+Assumptions!L55-L24</f>
        <v/>
      </c>
    </row>
    <row r="30">
      <c r="A30" t="inlineStr">
        <is>
          <t>Other non-current liabilities</t>
        </is>
      </c>
      <c r="B30" t="inlineStr">
        <is>
          <t>A$m</t>
        </is>
      </c>
      <c r="C30" s="14" t="n">
        <v>2350</v>
      </c>
      <c r="D30" s="14" t="n">
        <v>2480</v>
      </c>
      <c r="E30" s="14" t="n">
        <v>2620</v>
      </c>
      <c r="F30" s="14" t="n">
        <v>2700</v>
      </c>
      <c r="G30" s="14" t="n">
        <v>2780</v>
      </c>
      <c r="H30" s="15">
        <f>G30*(1+Assumptions!H50)</f>
        <v/>
      </c>
      <c r="I30" s="15">
        <f>H30*(1+Assumptions!I50)</f>
        <v/>
      </c>
      <c r="J30" s="15">
        <f>I30*(1+Assumptions!J50)</f>
        <v/>
      </c>
      <c r="K30" s="15">
        <f>J30*(1+Assumptions!K50)</f>
        <v/>
      </c>
      <c r="L30" s="15">
        <f>K30*(1+Assumptions!L50)</f>
        <v/>
      </c>
    </row>
    <row r="31">
      <c r="A31" s="16" t="inlineStr">
        <is>
          <t>Total Non-Current Liabilities</t>
        </is>
      </c>
      <c r="B31" s="16" t="inlineStr">
        <is>
          <t>A$m</t>
        </is>
      </c>
      <c r="C31" s="17" t="n">
        <v>21930</v>
      </c>
      <c r="D31" s="17" t="n">
        <v>23710</v>
      </c>
      <c r="E31" s="17" t="n">
        <v>26050</v>
      </c>
      <c r="F31" s="17" t="n">
        <v>26430</v>
      </c>
      <c r="G31" s="17" t="n">
        <v>26610</v>
      </c>
      <c r="H31" s="18">
        <f>H29+H30</f>
        <v/>
      </c>
      <c r="I31" s="18">
        <f>I29+I30</f>
        <v/>
      </c>
      <c r="J31" s="18">
        <f>J29+J30</f>
        <v/>
      </c>
      <c r="K31" s="18">
        <f>K29+K30</f>
        <v/>
      </c>
      <c r="L31" s="18">
        <f>L29+L30</f>
        <v/>
      </c>
    </row>
    <row r="32">
      <c r="A32" s="16" t="inlineStr">
        <is>
          <t>Total Borrowings (current + non-current)</t>
        </is>
      </c>
      <c r="B32" s="16" t="inlineStr">
        <is>
          <t>A$m</t>
        </is>
      </c>
      <c r="C32" s="17" t="n">
        <v>20830</v>
      </c>
      <c r="D32" s="17" t="n">
        <v>22630</v>
      </c>
      <c r="E32" s="17" t="n">
        <v>25030</v>
      </c>
      <c r="F32" s="17" t="n">
        <v>25030</v>
      </c>
      <c r="G32" s="17" t="n">
        <v>25030</v>
      </c>
      <c r="H32" s="18">
        <f>H24+H29</f>
        <v/>
      </c>
      <c r="I32" s="18">
        <f>I24+I29</f>
        <v/>
      </c>
      <c r="J32" s="18">
        <f>J24+J29</f>
        <v/>
      </c>
      <c r="K32" s="18">
        <f>K24+K29</f>
        <v/>
      </c>
      <c r="L32" s="18">
        <f>L24+L29</f>
        <v/>
      </c>
    </row>
    <row r="33">
      <c r="A33" t="inlineStr"/>
      <c r="H33" s="19" t="n"/>
      <c r="I33" s="19" t="n"/>
      <c r="J33" s="19" t="n"/>
      <c r="K33" s="19" t="n"/>
      <c r="L33" s="19" t="n"/>
    </row>
    <row r="34">
      <c r="A34" s="16" t="inlineStr">
        <is>
          <t>Total Liabilities</t>
        </is>
      </c>
      <c r="B34" s="16" t="inlineStr">
        <is>
          <t>A$m</t>
        </is>
      </c>
      <c r="C34" s="17" t="n">
        <v>24245</v>
      </c>
      <c r="D34" s="17" t="n">
        <v>26240</v>
      </c>
      <c r="E34" s="17" t="n">
        <v>28885</v>
      </c>
      <c r="F34" s="17" t="n">
        <v>28970</v>
      </c>
      <c r="G34" s="17" t="n">
        <v>29100</v>
      </c>
      <c r="H34" s="18">
        <f>H26+H31</f>
        <v/>
      </c>
      <c r="I34" s="18">
        <f>I26+I31</f>
        <v/>
      </c>
      <c r="J34" s="18">
        <f>J26+J31</f>
        <v/>
      </c>
      <c r="K34" s="18">
        <f>K26+K31</f>
        <v/>
      </c>
      <c r="L34" s="18">
        <f>L26+L31</f>
        <v/>
      </c>
    </row>
    <row r="35">
      <c r="A35" t="inlineStr"/>
      <c r="H35" s="19" t="n"/>
      <c r="I35" s="19" t="n"/>
      <c r="J35" s="19" t="n"/>
      <c r="K35" s="19" t="n"/>
      <c r="L35" s="19" t="n"/>
    </row>
    <row r="36">
      <c r="A36" s="3" t="inlineStr">
        <is>
          <t>EQUITY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t="inlineStr">
        <is>
          <t>Share capital</t>
        </is>
      </c>
      <c r="B37" t="inlineStr">
        <is>
          <t>A$m</t>
        </is>
      </c>
      <c r="C37" s="14" t="n">
        <v>13845</v>
      </c>
      <c r="D37" s="14" t="n">
        <v>14250</v>
      </c>
      <c r="E37" s="14" t="n">
        <v>14680</v>
      </c>
      <c r="F37" s="14" t="n">
        <v>15020</v>
      </c>
      <c r="G37" s="14" t="n">
        <v>15310</v>
      </c>
      <c r="H37" s="15">
        <f>G37*(1+Assumptions!H40)</f>
        <v/>
      </c>
      <c r="I37" s="15">
        <f>H37*(1+Assumptions!I40)</f>
        <v/>
      </c>
      <c r="J37" s="15">
        <f>I37*(1+Assumptions!J40)</f>
        <v/>
      </c>
      <c r="K37" s="15">
        <f>J37*(1+Assumptions!K40)</f>
        <v/>
      </c>
      <c r="L37" s="15">
        <f>K37*(1+Assumptions!L40)</f>
        <v/>
      </c>
    </row>
    <row r="38">
      <c r="A38" t="inlineStr">
        <is>
          <t>Retained earnings / (losses)</t>
        </is>
      </c>
      <c r="B38" t="inlineStr">
        <is>
          <t>A$m</t>
        </is>
      </c>
      <c r="C38" s="14" t="n">
        <v>-3847</v>
      </c>
      <c r="D38" s="14" t="n">
        <v>-4211</v>
      </c>
      <c r="E38" s="14" t="n">
        <v>-5380</v>
      </c>
      <c r="F38" s="14" t="n">
        <v>-5591</v>
      </c>
      <c r="G38" s="14" t="n">
        <v>-5726</v>
      </c>
      <c r="H38" s="15">
        <f>G38+'Income Statement'!H23-Assumptions!H53*Assumptions!H54/100</f>
        <v/>
      </c>
      <c r="I38" s="15">
        <f>H38+'Income Statement'!I23-Assumptions!I53*Assumptions!I54/100</f>
        <v/>
      </c>
      <c r="J38" s="15">
        <f>I38+'Income Statement'!J23-Assumptions!J53*Assumptions!J54/100</f>
        <v/>
      </c>
      <c r="K38" s="15">
        <f>J38+'Income Statement'!K23-Assumptions!K53*Assumptions!K54/100</f>
        <v/>
      </c>
      <c r="L38" s="15">
        <f>K38+'Income Statement'!L23-Assumptions!L53*Assumptions!L54/100</f>
        <v/>
      </c>
    </row>
    <row r="39">
      <c r="A39" t="inlineStr">
        <is>
          <t>Reserves</t>
        </is>
      </c>
      <c r="B39" t="inlineStr">
        <is>
          <t>A$m</t>
        </is>
      </c>
      <c r="C39" s="14" t="n">
        <v>358</v>
      </c>
      <c r="D39" s="14" t="n">
        <v>380</v>
      </c>
      <c r="E39" s="14" t="n">
        <v>380</v>
      </c>
      <c r="F39" s="14" t="n">
        <v>400</v>
      </c>
      <c r="G39" s="14" t="n">
        <v>412</v>
      </c>
      <c r="H39" s="15">
        <f>G39</f>
        <v/>
      </c>
      <c r="I39" s="15">
        <f>H39</f>
        <v/>
      </c>
      <c r="J39" s="15">
        <f>I39</f>
        <v/>
      </c>
      <c r="K39" s="15">
        <f>J39</f>
        <v/>
      </c>
      <c r="L39" s="15">
        <f>K39</f>
        <v/>
      </c>
    </row>
    <row r="40">
      <c r="A40" s="16" t="inlineStr">
        <is>
          <t>Total Equity</t>
        </is>
      </c>
      <c r="B40" s="16" t="inlineStr">
        <is>
          <t>A$m</t>
        </is>
      </c>
      <c r="C40" s="17" t="n">
        <v>10356</v>
      </c>
      <c r="D40" s="17" t="n">
        <v>10419</v>
      </c>
      <c r="E40" s="17" t="n">
        <v>9680</v>
      </c>
      <c r="F40" s="17" t="n">
        <v>9829</v>
      </c>
      <c r="G40" s="17" t="n">
        <v>9996</v>
      </c>
      <c r="H40" s="18">
        <f>H37+H38+H39</f>
        <v/>
      </c>
      <c r="I40" s="18">
        <f>I37+I38+I39</f>
        <v/>
      </c>
      <c r="J40" s="18">
        <f>J37+J38+J39</f>
        <v/>
      </c>
      <c r="K40" s="18">
        <f>K37+K38+K39</f>
        <v/>
      </c>
      <c r="L40" s="18">
        <f>L37+L38+L39</f>
        <v/>
      </c>
    </row>
    <row r="41">
      <c r="A41" t="inlineStr"/>
      <c r="H41" s="19" t="n"/>
      <c r="I41" s="19" t="n"/>
      <c r="J41" s="19" t="n"/>
      <c r="K41" s="19" t="n"/>
      <c r="L41" s="19" t="n"/>
    </row>
    <row r="42">
      <c r="A42" s="16" t="inlineStr">
        <is>
          <t>Total Liabilities &amp; Equity</t>
        </is>
      </c>
      <c r="B42" s="16" t="inlineStr">
        <is>
          <t>A$m</t>
        </is>
      </c>
      <c r="C42" s="17" t="n">
        <v>34601</v>
      </c>
      <c r="D42" s="17" t="n">
        <v>36659</v>
      </c>
      <c r="E42" s="17" t="n">
        <v>38565</v>
      </c>
      <c r="F42" s="17" t="n">
        <v>38799</v>
      </c>
      <c r="G42" s="17" t="n">
        <v>39096</v>
      </c>
      <c r="H42" s="18">
        <f>H34+H40</f>
        <v/>
      </c>
      <c r="I42" s="18">
        <f>I34+I40</f>
        <v/>
      </c>
      <c r="J42" s="18">
        <f>J34+J40</f>
        <v/>
      </c>
      <c r="K42" s="18">
        <f>K34+K40</f>
        <v/>
      </c>
      <c r="L42" s="18">
        <f>L34+L40</f>
        <v/>
      </c>
    </row>
    <row r="43">
      <c r="A43" t="inlineStr"/>
      <c r="H43" s="19" t="n"/>
      <c r="I43" s="19" t="n"/>
      <c r="J43" s="19" t="n"/>
      <c r="K43" s="19" t="n"/>
      <c r="L43" s="19" t="n"/>
    </row>
    <row r="44">
      <c r="A44" s="20" t="inlineStr">
        <is>
          <t>Balance Sheet Check (Assets - L&amp;E)</t>
        </is>
      </c>
      <c r="B44" s="20" t="inlineStr">
        <is>
          <t>A$m</t>
        </is>
      </c>
      <c r="C44" s="21">
        <f>C19-C42</f>
        <v/>
      </c>
      <c r="D44" s="21">
        <f>D19-D42</f>
        <v/>
      </c>
      <c r="E44" s="21">
        <f>E19-E42</f>
        <v/>
      </c>
      <c r="F44" s="21">
        <f>F19-F42</f>
        <v/>
      </c>
      <c r="G44" s="21">
        <f>G19-G42</f>
        <v/>
      </c>
      <c r="H44" s="22">
        <f>H19-H42</f>
        <v/>
      </c>
      <c r="I44" s="22">
        <f>I19-I42</f>
        <v/>
      </c>
      <c r="J44" s="22">
        <f>J19-J42</f>
        <v/>
      </c>
      <c r="K44" s="22">
        <f>K19-K42</f>
        <v/>
      </c>
      <c r="L44" s="22">
        <f>L19-L42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L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3" t="inlineStr">
        <is>
          <t>Transurban Group – Cash Flow Statement</t>
        </is>
      </c>
    </row>
    <row r="2">
      <c r="A2" s="2" t="inlineStr">
        <is>
          <t>A$ millions  |  Fiscal year ends 30 June</t>
        </is>
      </c>
    </row>
    <row r="4">
      <c r="A4" s="6" t="inlineStr">
        <is>
          <t>Cash Flow Statement</t>
        </is>
      </c>
      <c r="B4" s="6" t="n"/>
      <c r="C4" s="6" t="inlineStr">
        <is>
          <t>FY21</t>
        </is>
      </c>
      <c r="D4" s="6" t="inlineStr">
        <is>
          <t>FY22</t>
        </is>
      </c>
      <c r="E4" s="6" t="inlineStr">
        <is>
          <t>FY23</t>
        </is>
      </c>
      <c r="F4" s="6" t="inlineStr">
        <is>
          <t>FY24</t>
        </is>
      </c>
      <c r="G4" s="6" t="inlineStr">
        <is>
          <t>FY25</t>
        </is>
      </c>
      <c r="H4" s="6" t="inlineStr">
        <is>
          <t>FY26F</t>
        </is>
      </c>
      <c r="I4" s="6" t="inlineStr">
        <is>
          <t>FY27F</t>
        </is>
      </c>
      <c r="J4" s="6" t="inlineStr">
        <is>
          <t>FY28F</t>
        </is>
      </c>
      <c r="K4" s="6" t="inlineStr">
        <is>
          <t>FY29F</t>
        </is>
      </c>
      <c r="L4" s="6" t="inlineStr">
        <is>
          <t>FY30F</t>
        </is>
      </c>
    </row>
    <row r="5">
      <c r="A5" s="3" t="inlineStr">
        <is>
          <t>OPERATING ACTIVITIES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t="inlineStr">
        <is>
          <t>Net profit / (loss) after tax</t>
        </is>
      </c>
      <c r="B6" t="inlineStr">
        <is>
          <t>A$m</t>
        </is>
      </c>
      <c r="C6" s="14" t="n">
        <v>45</v>
      </c>
      <c r="D6" s="14" t="n">
        <v>279</v>
      </c>
      <c r="E6" s="14" t="n">
        <v>454</v>
      </c>
      <c r="F6" s="14" t="n">
        <v>555</v>
      </c>
      <c r="G6" s="14" t="n">
        <v>621</v>
      </c>
      <c r="H6" s="15">
        <f>'Income Statement'!H23</f>
        <v/>
      </c>
      <c r="I6" s="15">
        <f>'Income Statement'!I23</f>
        <v/>
      </c>
      <c r="J6" s="15">
        <f>'Income Statement'!J23</f>
        <v/>
      </c>
      <c r="K6" s="15">
        <f>'Income Statement'!K23</f>
        <v/>
      </c>
      <c r="L6" s="15">
        <f>'Income Statement'!L23</f>
        <v/>
      </c>
    </row>
    <row r="7">
      <c r="A7" t="inlineStr">
        <is>
          <t>Add back: D&amp;A</t>
        </is>
      </c>
      <c r="B7" t="inlineStr">
        <is>
          <t>A$m</t>
        </is>
      </c>
      <c r="C7" s="14" t="n">
        <v>856</v>
      </c>
      <c r="D7" s="14" t="n">
        <v>880</v>
      </c>
      <c r="E7" s="14" t="n">
        <v>905</v>
      </c>
      <c r="F7" s="14" t="n">
        <v>930</v>
      </c>
      <c r="G7" s="14" t="n">
        <v>958</v>
      </c>
      <c r="H7" s="15">
        <f>-'Income Statement'!H17</f>
        <v/>
      </c>
      <c r="I7" s="15">
        <f>-'Income Statement'!I17</f>
        <v/>
      </c>
      <c r="J7" s="15">
        <f>-'Income Statement'!J17</f>
        <v/>
      </c>
      <c r="K7" s="15">
        <f>-'Income Statement'!K17</f>
        <v/>
      </c>
      <c r="L7" s="15">
        <f>-'Income Statement'!L17</f>
        <v/>
      </c>
    </row>
    <row r="8">
      <c r="A8" t="inlineStr">
        <is>
          <t>Changes in working capital</t>
        </is>
      </c>
      <c r="B8" t="inlineStr">
        <is>
          <t>A$m</t>
        </is>
      </c>
      <c r="C8" s="14" t="n">
        <v>-45</v>
      </c>
      <c r="D8" s="14" t="n">
        <v>30</v>
      </c>
      <c r="E8" s="14" t="n">
        <v>-60</v>
      </c>
      <c r="F8" s="14" t="n">
        <v>25</v>
      </c>
      <c r="G8" s="14" t="n">
        <v>-15</v>
      </c>
      <c r="H8" s="15">
        <f>-('Balance Sheet'!H8-'Balance Sheet'!G8)+('Balance Sheet'!H23-'Balance Sheet'!G23)</f>
        <v/>
      </c>
      <c r="I8" s="15">
        <f>-('Balance Sheet'!I8-'Balance Sheet'!H8)+('Balance Sheet'!I23-'Balance Sheet'!H23)</f>
        <v/>
      </c>
      <c r="J8" s="15">
        <f>-('Balance Sheet'!J8-'Balance Sheet'!I8)+('Balance Sheet'!J23-'Balance Sheet'!I23)</f>
        <v/>
      </c>
      <c r="K8" s="15">
        <f>-('Balance Sheet'!K8-'Balance Sheet'!J8)+('Balance Sheet'!K23-'Balance Sheet'!J23)</f>
        <v/>
      </c>
      <c r="L8" s="15">
        <f>-('Balance Sheet'!L8-'Balance Sheet'!K8)+('Balance Sheet'!L23-'Balance Sheet'!K23)</f>
        <v/>
      </c>
    </row>
    <row r="9">
      <c r="A9" t="inlineStr">
        <is>
          <t>Other operating adjustments</t>
        </is>
      </c>
      <c r="B9" t="inlineStr">
        <is>
          <t>A$m</t>
        </is>
      </c>
      <c r="C9" s="14" t="n">
        <v>120</v>
      </c>
      <c r="D9" s="14" t="n">
        <v>135</v>
      </c>
      <c r="E9" s="14" t="n">
        <v>150</v>
      </c>
      <c r="F9" s="14" t="n">
        <v>160</v>
      </c>
      <c r="G9" s="14" t="n">
        <v>170</v>
      </c>
      <c r="H9" s="15">
        <f>G9*(1+Assumptions!H56)</f>
        <v/>
      </c>
      <c r="I9" s="15">
        <f>H9*(1+Assumptions!I56)</f>
        <v/>
      </c>
      <c r="J9" s="15">
        <f>I9*(1+Assumptions!J56)</f>
        <v/>
      </c>
      <c r="K9" s="15">
        <f>J9*(1+Assumptions!K56)</f>
        <v/>
      </c>
      <c r="L9" s="15">
        <f>K9*(1+Assumptions!L56)</f>
        <v/>
      </c>
    </row>
    <row r="10">
      <c r="A10" s="16" t="inlineStr">
        <is>
          <t>Net Cash from Operating Activities</t>
        </is>
      </c>
      <c r="B10" s="16" t="inlineStr">
        <is>
          <t>A$m</t>
        </is>
      </c>
      <c r="C10" s="17" t="n">
        <v>976</v>
      </c>
      <c r="D10" s="17" t="n">
        <v>1324</v>
      </c>
      <c r="E10" s="17" t="n">
        <v>1449</v>
      </c>
      <c r="F10" s="17" t="n">
        <v>1670</v>
      </c>
      <c r="G10" s="17" t="n">
        <v>1734</v>
      </c>
      <c r="H10" s="18">
        <f>H6+H7+H8+H9</f>
        <v/>
      </c>
      <c r="I10" s="18">
        <f>I6+I7+I8+I9</f>
        <v/>
      </c>
      <c r="J10" s="18">
        <f>J6+J7+J8+J9</f>
        <v/>
      </c>
      <c r="K10" s="18">
        <f>K6+K7+K8+K9</f>
        <v/>
      </c>
      <c r="L10" s="18">
        <f>L6+L7+L8+L9</f>
        <v/>
      </c>
    </row>
    <row r="11">
      <c r="A11" t="inlineStr"/>
      <c r="H11" s="19" t="n"/>
      <c r="I11" s="19" t="n"/>
      <c r="J11" s="19" t="n"/>
      <c r="K11" s="19" t="n"/>
      <c r="L11" s="19" t="n"/>
    </row>
    <row r="12">
      <c r="A12" s="3" t="inlineStr">
        <is>
          <t>INVESTING ACTIVITIES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t="inlineStr">
        <is>
          <t>Capital expenditure</t>
        </is>
      </c>
      <c r="B13" t="inlineStr">
        <is>
          <t>A$m</t>
        </is>
      </c>
      <c r="C13" s="14" t="n">
        <v>-628</v>
      </c>
      <c r="D13" s="14" t="n">
        <v>-1092</v>
      </c>
      <c r="E13" s="14" t="n">
        <v>-1805</v>
      </c>
      <c r="F13" s="14" t="n">
        <v>-1420</v>
      </c>
      <c r="G13" s="14" t="n">
        <v>-1200</v>
      </c>
      <c r="H13" s="15">
        <f>-Assumptions!H43</f>
        <v/>
      </c>
      <c r="I13" s="15">
        <f>-Assumptions!I43</f>
        <v/>
      </c>
      <c r="J13" s="15">
        <f>-Assumptions!J43</f>
        <v/>
      </c>
      <c r="K13" s="15">
        <f>-Assumptions!K43</f>
        <v/>
      </c>
      <c r="L13" s="15">
        <f>-Assumptions!L43</f>
        <v/>
      </c>
    </row>
    <row r="14">
      <c r="A14" t="inlineStr">
        <is>
          <t>Other investing activities</t>
        </is>
      </c>
      <c r="B14" t="inlineStr">
        <is>
          <t>A$m</t>
        </is>
      </c>
      <c r="C14" s="14" t="n">
        <v>-150</v>
      </c>
      <c r="D14" s="14" t="n">
        <v>-80</v>
      </c>
      <c r="E14" s="14" t="n">
        <v>-120</v>
      </c>
      <c r="F14" s="14" t="n">
        <v>-100</v>
      </c>
      <c r="G14" s="14" t="n">
        <v>-90</v>
      </c>
      <c r="H14" s="15">
        <f>G14</f>
        <v/>
      </c>
      <c r="I14" s="15">
        <f>H14</f>
        <v/>
      </c>
      <c r="J14" s="15">
        <f>I14</f>
        <v/>
      </c>
      <c r="K14" s="15">
        <f>J14</f>
        <v/>
      </c>
      <c r="L14" s="15">
        <f>K14</f>
        <v/>
      </c>
    </row>
    <row r="15">
      <c r="A15" s="16" t="inlineStr">
        <is>
          <t>Net Cash from Investing Activities</t>
        </is>
      </c>
      <c r="B15" s="16" t="inlineStr">
        <is>
          <t>A$m</t>
        </is>
      </c>
      <c r="C15" s="17" t="n">
        <v>-778</v>
      </c>
      <c r="D15" s="17" t="n">
        <v>-1172</v>
      </c>
      <c r="E15" s="17" t="n">
        <v>-1925</v>
      </c>
      <c r="F15" s="17" t="n">
        <v>-1520</v>
      </c>
      <c r="G15" s="17" t="n">
        <v>-1290</v>
      </c>
      <c r="H15" s="18">
        <f>H13+H14</f>
        <v/>
      </c>
      <c r="I15" s="18">
        <f>I13+I14</f>
        <v/>
      </c>
      <c r="J15" s="18">
        <f>J13+J14</f>
        <v/>
      </c>
      <c r="K15" s="18">
        <f>K13+K14</f>
        <v/>
      </c>
      <c r="L15" s="18">
        <f>L13+L14</f>
        <v/>
      </c>
    </row>
    <row r="16">
      <c r="A16" t="inlineStr"/>
      <c r="H16" s="19" t="n"/>
      <c r="I16" s="19" t="n"/>
      <c r="J16" s="19" t="n"/>
      <c r="K16" s="19" t="n"/>
      <c r="L16" s="19" t="n"/>
    </row>
    <row r="17">
      <c r="A17" s="3" t="inlineStr">
        <is>
          <t>FINANCING ACTIVITIES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t="inlineStr">
        <is>
          <t>Proceeds from / (repayment of) borrowings</t>
        </is>
      </c>
      <c r="B18" t="inlineStr">
        <is>
          <t>A$m</t>
        </is>
      </c>
      <c r="C18" s="14" t="n">
        <v>1200</v>
      </c>
      <c r="D18" s="14" t="n">
        <v>2050</v>
      </c>
      <c r="E18" s="14" t="n">
        <v>2800</v>
      </c>
      <c r="F18" s="14" t="n">
        <v>600</v>
      </c>
      <c r="G18" s="14" t="n">
        <v>300</v>
      </c>
      <c r="H18" s="15">
        <f>Assumptions!H55</f>
        <v/>
      </c>
      <c r="I18" s="15">
        <f>Assumptions!I55</f>
        <v/>
      </c>
      <c r="J18" s="15">
        <f>Assumptions!J55</f>
        <v/>
      </c>
      <c r="K18" s="15">
        <f>Assumptions!K55</f>
        <v/>
      </c>
      <c r="L18" s="15">
        <f>Assumptions!L55</f>
        <v/>
      </c>
    </row>
    <row r="19">
      <c r="A19" t="inlineStr">
        <is>
          <t>Dividends / distributions paid</t>
        </is>
      </c>
      <c r="B19" t="inlineStr">
        <is>
          <t>A$m</t>
        </is>
      </c>
      <c r="C19" s="14" t="n">
        <v>-792</v>
      </c>
      <c r="D19" s="14" t="n">
        <v>-1032</v>
      </c>
      <c r="E19" s="14" t="n">
        <v>-1218</v>
      </c>
      <c r="F19" s="14" t="n">
        <v>-1276</v>
      </c>
      <c r="G19" s="14" t="n">
        <v>-1313</v>
      </c>
      <c r="H19" s="15">
        <f>-Assumptions!H53*Assumptions!H54/100</f>
        <v/>
      </c>
      <c r="I19" s="15">
        <f>-Assumptions!I53*Assumptions!I54/100</f>
        <v/>
      </c>
      <c r="J19" s="15">
        <f>-Assumptions!J53*Assumptions!J54/100</f>
        <v/>
      </c>
      <c r="K19" s="15">
        <f>-Assumptions!K53*Assumptions!K54/100</f>
        <v/>
      </c>
      <c r="L19" s="15">
        <f>-Assumptions!L53*Assumptions!L54/100</f>
        <v/>
      </c>
    </row>
    <row r="20">
      <c r="A20" t="inlineStr">
        <is>
          <t>Equity issuance (DRP &amp; placements)</t>
        </is>
      </c>
      <c r="B20" t="inlineStr">
        <is>
          <t>A$m</t>
        </is>
      </c>
      <c r="C20" s="14" t="n">
        <v>405</v>
      </c>
      <c r="D20" s="14" t="n">
        <v>450</v>
      </c>
      <c r="E20" s="14" t="n">
        <v>430</v>
      </c>
      <c r="F20" s="14" t="n">
        <v>340</v>
      </c>
      <c r="G20" s="14" t="n">
        <v>290</v>
      </c>
      <c r="H20" s="15">
        <f>'Balance Sheet'!G37*Assumptions!H57</f>
        <v/>
      </c>
      <c r="I20" s="15">
        <f>'Balance Sheet'!H37*Assumptions!I57</f>
        <v/>
      </c>
      <c r="J20" s="15">
        <f>'Balance Sheet'!I37*Assumptions!J57</f>
        <v/>
      </c>
      <c r="K20" s="15">
        <f>'Balance Sheet'!J37*Assumptions!K57</f>
        <v/>
      </c>
      <c r="L20" s="15">
        <f>'Balance Sheet'!K37*Assumptions!L57</f>
        <v/>
      </c>
    </row>
    <row r="21">
      <c r="A21" s="16" t="inlineStr">
        <is>
          <t>Net Cash from Financing Activities</t>
        </is>
      </c>
      <c r="B21" s="16" t="inlineStr">
        <is>
          <t>A$m</t>
        </is>
      </c>
      <c r="C21" s="17" t="n">
        <v>813</v>
      </c>
      <c r="D21" s="17" t="n">
        <v>1468</v>
      </c>
      <c r="E21" s="17" t="n">
        <v>2012</v>
      </c>
      <c r="F21" s="17" t="n">
        <v>-336</v>
      </c>
      <c r="G21" s="17" t="n">
        <v>-723</v>
      </c>
      <c r="H21" s="18">
        <f>H18+H19+H20</f>
        <v/>
      </c>
      <c r="I21" s="18">
        <f>I18+I19+I20</f>
        <v/>
      </c>
      <c r="J21" s="18">
        <f>J18+J19+J20</f>
        <v/>
      </c>
      <c r="K21" s="18">
        <f>K18+K19+K20</f>
        <v/>
      </c>
      <c r="L21" s="18">
        <f>L18+L19+L20</f>
        <v/>
      </c>
    </row>
    <row r="22">
      <c r="A22" t="inlineStr"/>
      <c r="H22" s="19" t="n"/>
      <c r="I22" s="19" t="n"/>
      <c r="J22" s="19" t="n"/>
      <c r="K22" s="19" t="n"/>
      <c r="L22" s="19" t="n"/>
    </row>
    <row r="23">
      <c r="A23" s="16" t="inlineStr">
        <is>
          <t>Net increase / (decrease) in cash</t>
        </is>
      </c>
      <c r="B23" s="16" t="inlineStr">
        <is>
          <t>A$m</t>
        </is>
      </c>
      <c r="C23" s="17" t="n">
        <v>1011</v>
      </c>
      <c r="D23" s="17" t="n">
        <v>1620</v>
      </c>
      <c r="E23" s="17" t="n">
        <v>1536</v>
      </c>
      <c r="F23" s="17" t="n">
        <v>-186</v>
      </c>
      <c r="G23" s="17" t="n">
        <v>-279</v>
      </c>
      <c r="H23" s="18">
        <f>H10+H15+H21</f>
        <v/>
      </c>
      <c r="I23" s="18">
        <f>I10+I15+I21</f>
        <v/>
      </c>
      <c r="J23" s="18">
        <f>J10+J15+J21</f>
        <v/>
      </c>
      <c r="K23" s="18">
        <f>K10+K15+K21</f>
        <v/>
      </c>
      <c r="L23" s="18">
        <f>L10+L15+L21</f>
        <v/>
      </c>
    </row>
    <row r="24">
      <c r="A24" t="inlineStr">
        <is>
          <t>FX &amp; other adjustments</t>
        </is>
      </c>
      <c r="B24" t="inlineStr">
        <is>
          <t>A$m</t>
        </is>
      </c>
      <c r="C24" s="14" t="n">
        <v>-748</v>
      </c>
      <c r="D24" s="14" t="n">
        <v>-1023</v>
      </c>
      <c r="E24" s="14" t="n">
        <v>-1901</v>
      </c>
      <c r="F24" s="14" t="n">
        <v>-244</v>
      </c>
      <c r="G24" s="14" t="n">
        <v>449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</row>
    <row r="25">
      <c r="A25" t="inlineStr">
        <is>
          <t>Opening cash balance</t>
        </is>
      </c>
      <c r="B25" t="inlineStr">
        <is>
          <t>A$m</t>
        </is>
      </c>
      <c r="C25" s="14" t="n">
        <v>2285</v>
      </c>
      <c r="D25" s="14" t="n">
        <v>2548</v>
      </c>
      <c r="E25" s="14" t="n">
        <v>3145</v>
      </c>
      <c r="F25" s="14" t="n">
        <v>2780</v>
      </c>
      <c r="G25" s="14" t="n">
        <v>2350</v>
      </c>
      <c r="H25" s="15">
        <f>'Balance Sheet'!G7</f>
        <v/>
      </c>
      <c r="I25" s="15">
        <f>'Balance Sheet'!H7</f>
        <v/>
      </c>
      <c r="J25" s="15">
        <f>'Balance Sheet'!I7</f>
        <v/>
      </c>
      <c r="K25" s="15">
        <f>'Balance Sheet'!J7</f>
        <v/>
      </c>
      <c r="L25" s="15">
        <f>'Balance Sheet'!K7</f>
        <v/>
      </c>
    </row>
    <row r="26">
      <c r="A26" s="20" t="inlineStr">
        <is>
          <t>Closing Cash Balance</t>
        </is>
      </c>
      <c r="B26" s="20" t="inlineStr">
        <is>
          <t>A$m</t>
        </is>
      </c>
      <c r="C26" s="21" t="n">
        <v>2548</v>
      </c>
      <c r="D26" s="21" t="n">
        <v>3145</v>
      </c>
      <c r="E26" s="21" t="n">
        <v>2780</v>
      </c>
      <c r="F26" s="21" t="n">
        <v>2350</v>
      </c>
      <c r="G26" s="21" t="n">
        <v>2520</v>
      </c>
      <c r="H26" s="22">
        <f>H25+H23+H24</f>
        <v/>
      </c>
      <c r="I26" s="22">
        <f>I25+I23+I24</f>
        <v/>
      </c>
      <c r="J26" s="22">
        <f>J25+J23+J24</f>
        <v/>
      </c>
      <c r="K26" s="22">
        <f>K25+K23+K24</f>
        <v/>
      </c>
      <c r="L26" s="22">
        <f>L25+L23+L24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L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3" t="inlineStr">
        <is>
          <t>Transurban Group – Notes to the Financial Statements</t>
        </is>
      </c>
    </row>
    <row r="2">
      <c r="A2" s="2" t="inlineStr">
        <is>
          <t>A$ millions  |  Fiscal year ends 30 June</t>
        </is>
      </c>
    </row>
    <row r="4">
      <c r="A4" s="6" t="inlineStr">
        <is>
          <t>Notes</t>
        </is>
      </c>
      <c r="B4" s="6" t="inlineStr"/>
      <c r="C4" s="6" t="inlineStr">
        <is>
          <t>FY21</t>
        </is>
      </c>
      <c r="D4" s="6" t="inlineStr">
        <is>
          <t>FY22</t>
        </is>
      </c>
      <c r="E4" s="6" t="inlineStr">
        <is>
          <t>FY23</t>
        </is>
      </c>
      <c r="F4" s="6" t="inlineStr">
        <is>
          <t>FY24</t>
        </is>
      </c>
      <c r="G4" s="6" t="inlineStr">
        <is>
          <t>FY25</t>
        </is>
      </c>
      <c r="H4" s="6" t="inlineStr">
        <is>
          <t>FY26F</t>
        </is>
      </c>
      <c r="I4" s="6" t="inlineStr">
        <is>
          <t>FY27F</t>
        </is>
      </c>
      <c r="J4" s="6" t="inlineStr">
        <is>
          <t>FY28F</t>
        </is>
      </c>
      <c r="K4" s="6" t="inlineStr">
        <is>
          <t>FY29F</t>
        </is>
      </c>
      <c r="L4" s="6" t="inlineStr">
        <is>
          <t>FY30F</t>
        </is>
      </c>
    </row>
    <row r="5">
      <c r="A5" s="3" t="inlineStr">
        <is>
          <t>REVENUE BREAKDOWN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t="inlineStr">
        <is>
          <t>Toll revenue</t>
        </is>
      </c>
      <c r="B6" t="inlineStr">
        <is>
          <t>A$m</t>
        </is>
      </c>
      <c r="C6" s="14">
        <f>'Income Statement'!C6</f>
        <v/>
      </c>
      <c r="D6" s="14">
        <f>'Income Statement'!D6</f>
        <v/>
      </c>
      <c r="E6" s="14">
        <f>'Income Statement'!E6</f>
        <v/>
      </c>
      <c r="F6" s="14">
        <f>'Income Statement'!F6</f>
        <v/>
      </c>
      <c r="G6" s="14">
        <f>'Income Statement'!G6</f>
        <v/>
      </c>
      <c r="H6" s="15">
        <f>'Income Statement'!H6</f>
        <v/>
      </c>
      <c r="I6" s="15">
        <f>'Income Statement'!I6</f>
        <v/>
      </c>
      <c r="J6" s="15">
        <f>'Income Statement'!J6</f>
        <v/>
      </c>
      <c r="K6" s="15">
        <f>'Income Statement'!K6</f>
        <v/>
      </c>
      <c r="L6" s="15">
        <f>'Income Statement'!L6</f>
        <v/>
      </c>
    </row>
    <row r="7">
      <c r="A7" t="inlineStr">
        <is>
          <t>Construction revenue</t>
        </is>
      </c>
      <c r="B7" t="inlineStr">
        <is>
          <t>A$m</t>
        </is>
      </c>
      <c r="C7" s="14" t="n">
        <v>180</v>
      </c>
      <c r="D7" s="14" t="n">
        <v>320</v>
      </c>
      <c r="E7" s="14" t="n">
        <v>540</v>
      </c>
      <c r="F7" s="14" t="n">
        <v>420</v>
      </c>
      <c r="G7" s="14" t="n">
        <v>350</v>
      </c>
      <c r="H7" s="15">
        <f>G7*(1+Assumptions!H60)</f>
        <v/>
      </c>
      <c r="I7" s="15">
        <f>H7*(1+Assumptions!I60)</f>
        <v/>
      </c>
      <c r="J7" s="15">
        <f>I7*(1+Assumptions!J60)</f>
        <v/>
      </c>
      <c r="K7" s="15">
        <f>J7*(1+Assumptions!K60)</f>
        <v/>
      </c>
      <c r="L7" s="15">
        <f>K7*(1+Assumptions!L60)</f>
        <v/>
      </c>
    </row>
    <row r="8">
      <c r="A8" t="inlineStr">
        <is>
          <t>Other revenue</t>
        </is>
      </c>
      <c r="B8" t="inlineStr">
        <is>
          <t>A$m</t>
        </is>
      </c>
      <c r="C8" s="14">
        <f>'Income Statement'!C7</f>
        <v/>
      </c>
      <c r="D8" s="14">
        <f>'Income Statement'!D7</f>
        <v/>
      </c>
      <c r="E8" s="14">
        <f>'Income Statement'!E7</f>
        <v/>
      </c>
      <c r="F8" s="14">
        <f>'Income Statement'!F7</f>
        <v/>
      </c>
      <c r="G8" s="14">
        <f>'Income Statement'!G7</f>
        <v/>
      </c>
      <c r="H8" s="15">
        <f>'Income Statement'!H7</f>
        <v/>
      </c>
      <c r="I8" s="15">
        <f>'Income Statement'!I7</f>
        <v/>
      </c>
      <c r="J8" s="15">
        <f>'Income Statement'!J7</f>
        <v/>
      </c>
      <c r="K8" s="15">
        <f>'Income Statement'!K7</f>
        <v/>
      </c>
      <c r="L8" s="15">
        <f>'Income Statement'!L7</f>
        <v/>
      </c>
    </row>
    <row r="9">
      <c r="A9" s="16" t="inlineStr">
        <is>
          <t>Total Revenue</t>
        </is>
      </c>
      <c r="B9" s="16" t="inlineStr">
        <is>
          <t>A$m</t>
        </is>
      </c>
      <c r="C9" s="17">
        <f>'Income Statement'!C8</f>
        <v/>
      </c>
      <c r="D9" s="17">
        <f>'Income Statement'!D8</f>
        <v/>
      </c>
      <c r="E9" s="17">
        <f>'Income Statement'!E8</f>
        <v/>
      </c>
      <c r="F9" s="17">
        <f>'Income Statement'!F8</f>
        <v/>
      </c>
      <c r="G9" s="17">
        <f>'Income Statement'!G8</f>
        <v/>
      </c>
      <c r="H9" s="18">
        <f>'Income Statement'!H8</f>
        <v/>
      </c>
      <c r="I9" s="18">
        <f>'Income Statement'!I8</f>
        <v/>
      </c>
      <c r="J9" s="18">
        <f>'Income Statement'!J8</f>
        <v/>
      </c>
      <c r="K9" s="18">
        <f>'Income Statement'!K8</f>
        <v/>
      </c>
      <c r="L9" s="18">
        <f>'Income Statement'!L8</f>
        <v/>
      </c>
    </row>
    <row r="10">
      <c r="A10" t="inlineStr"/>
      <c r="H10" s="19" t="n"/>
      <c r="I10" s="19" t="n"/>
      <c r="J10" s="19" t="n"/>
      <c r="K10" s="19" t="n"/>
      <c r="L10" s="19" t="n"/>
    </row>
    <row r="11">
      <c r="A11" s="3" t="inlineStr">
        <is>
          <t>SEGMENT REPORTING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t="inlineStr">
        <is>
          <t>Melbourne (CityLink)</t>
        </is>
      </c>
      <c r="H12" s="19" t="n"/>
      <c r="I12" s="19" t="n"/>
      <c r="J12" s="19" t="n"/>
      <c r="K12" s="19" t="n"/>
      <c r="L12" s="19" t="n"/>
    </row>
    <row r="13">
      <c r="A13" t="inlineStr">
        <is>
          <t xml:space="preserve">  Revenue</t>
        </is>
      </c>
      <c r="B13" t="inlineStr">
        <is>
          <t>A$m</t>
        </is>
      </c>
      <c r="C13" s="14" t="n">
        <v>820</v>
      </c>
      <c r="D13" s="14" t="n">
        <v>920</v>
      </c>
      <c r="E13" s="14" t="n">
        <v>1080</v>
      </c>
      <c r="F13" s="14" t="n">
        <v>1150</v>
      </c>
      <c r="G13" s="14" t="n">
        <v>1220</v>
      </c>
      <c r="H13" s="19" t="n"/>
      <c r="I13" s="19" t="n"/>
      <c r="J13" s="19" t="n"/>
      <c r="K13" s="19" t="n"/>
      <c r="L13" s="19" t="n"/>
    </row>
    <row r="14">
      <c r="A14" t="inlineStr">
        <is>
          <t xml:space="preserve">  EBITDA</t>
        </is>
      </c>
      <c r="B14" t="inlineStr">
        <is>
          <t>A$m</t>
        </is>
      </c>
      <c r="C14" s="14" t="n">
        <v>620</v>
      </c>
      <c r="D14" s="14" t="n">
        <v>710</v>
      </c>
      <c r="E14" s="14" t="n">
        <v>840</v>
      </c>
      <c r="F14" s="14" t="n">
        <v>900</v>
      </c>
      <c r="G14" s="14" t="n">
        <v>960</v>
      </c>
      <c r="H14" s="19" t="n"/>
      <c r="I14" s="19" t="n"/>
      <c r="J14" s="19" t="n"/>
      <c r="K14" s="19" t="n"/>
      <c r="L14" s="19" t="n"/>
    </row>
    <row r="15">
      <c r="A15" t="inlineStr">
        <is>
          <t>Sydney</t>
        </is>
      </c>
      <c r="H15" s="19" t="n"/>
      <c r="I15" s="19" t="n"/>
      <c r="J15" s="19" t="n"/>
      <c r="K15" s="19" t="n"/>
      <c r="L15" s="19" t="n"/>
    </row>
    <row r="16">
      <c r="A16" t="inlineStr">
        <is>
          <t xml:space="preserve">  Revenue</t>
        </is>
      </c>
      <c r="B16" t="inlineStr">
        <is>
          <t>A$m</t>
        </is>
      </c>
      <c r="C16" s="14" t="n">
        <v>1050</v>
      </c>
      <c r="D16" s="14" t="n">
        <v>1220</v>
      </c>
      <c r="E16" s="14" t="n">
        <v>1520</v>
      </c>
      <c r="F16" s="14" t="n">
        <v>1680</v>
      </c>
      <c r="G16" s="14" t="n">
        <v>1800</v>
      </c>
      <c r="H16" s="19" t="n"/>
      <c r="I16" s="19" t="n"/>
      <c r="J16" s="19" t="n"/>
      <c r="K16" s="19" t="n"/>
      <c r="L16" s="19" t="n"/>
    </row>
    <row r="17">
      <c r="A17" t="inlineStr">
        <is>
          <t xml:space="preserve">  EBITDA</t>
        </is>
      </c>
      <c r="B17" t="inlineStr">
        <is>
          <t>A$m</t>
        </is>
      </c>
      <c r="C17" s="14" t="n">
        <v>750</v>
      </c>
      <c r="D17" s="14" t="n">
        <v>890</v>
      </c>
      <c r="E17" s="14" t="n">
        <v>1120</v>
      </c>
      <c r="F17" s="14" t="n">
        <v>1250</v>
      </c>
      <c r="G17" s="14" t="n">
        <v>1350</v>
      </c>
      <c r="H17" s="19" t="n"/>
      <c r="I17" s="19" t="n"/>
      <c r="J17" s="19" t="n"/>
      <c r="K17" s="19" t="n"/>
      <c r="L17" s="19" t="n"/>
    </row>
    <row r="18">
      <c r="A18" t="inlineStr">
        <is>
          <t>Brisbane</t>
        </is>
      </c>
      <c r="H18" s="19" t="n"/>
      <c r="I18" s="19" t="n"/>
      <c r="J18" s="19" t="n"/>
      <c r="K18" s="19" t="n"/>
      <c r="L18" s="19" t="n"/>
    </row>
    <row r="19">
      <c r="A19" t="inlineStr">
        <is>
          <t xml:space="preserve">  Revenue</t>
        </is>
      </c>
      <c r="B19" t="inlineStr">
        <is>
          <t>A$m</t>
        </is>
      </c>
      <c r="C19" s="14" t="n">
        <v>430</v>
      </c>
      <c r="D19" s="14" t="n">
        <v>480</v>
      </c>
      <c r="E19" s="14" t="n">
        <v>560</v>
      </c>
      <c r="F19" s="14" t="n">
        <v>600</v>
      </c>
      <c r="G19" s="14" t="n">
        <v>640</v>
      </c>
      <c r="H19" s="19" t="n"/>
      <c r="I19" s="19" t="n"/>
      <c r="J19" s="19" t="n"/>
      <c r="K19" s="19" t="n"/>
      <c r="L19" s="19" t="n"/>
    </row>
    <row r="20">
      <c r="A20" t="inlineStr">
        <is>
          <t xml:space="preserve">  EBITDA</t>
        </is>
      </c>
      <c r="B20" t="inlineStr">
        <is>
          <t>A$m</t>
        </is>
      </c>
      <c r="C20" s="14" t="n">
        <v>310</v>
      </c>
      <c r="D20" s="14" t="n">
        <v>350</v>
      </c>
      <c r="E20" s="14" t="n">
        <v>410</v>
      </c>
      <c r="F20" s="14" t="n">
        <v>440</v>
      </c>
      <c r="G20" s="14" t="n">
        <v>470</v>
      </c>
      <c r="H20" s="19" t="n"/>
      <c r="I20" s="19" t="n"/>
      <c r="J20" s="19" t="n"/>
      <c r="K20" s="19" t="n"/>
      <c r="L20" s="19" t="n"/>
    </row>
    <row r="21">
      <c r="A21" t="inlineStr">
        <is>
          <t>North America</t>
        </is>
      </c>
      <c r="H21" s="19" t="n"/>
      <c r="I21" s="19" t="n"/>
      <c r="J21" s="19" t="n"/>
      <c r="K21" s="19" t="n"/>
      <c r="L21" s="19" t="n"/>
    </row>
    <row r="22">
      <c r="A22" t="inlineStr">
        <is>
          <t xml:space="preserve">  Revenue</t>
        </is>
      </c>
      <c r="B22" t="inlineStr">
        <is>
          <t>A$m</t>
        </is>
      </c>
      <c r="C22" s="14" t="n">
        <v>478</v>
      </c>
      <c r="D22" s="14" t="n">
        <v>521</v>
      </c>
      <c r="E22" s="14" t="n">
        <v>627</v>
      </c>
      <c r="F22" s="14" t="n">
        <v>652</v>
      </c>
      <c r="G22" s="14" t="n">
        <v>690</v>
      </c>
      <c r="H22" s="19" t="n"/>
      <c r="I22" s="19" t="n"/>
      <c r="J22" s="19" t="n"/>
      <c r="K22" s="19" t="n"/>
      <c r="L22" s="19" t="n"/>
    </row>
    <row r="23">
      <c r="A23" t="inlineStr">
        <is>
          <t xml:space="preserve">  EBITDA</t>
        </is>
      </c>
      <c r="B23" t="inlineStr">
        <is>
          <t>A$m</t>
        </is>
      </c>
      <c r="C23" s="14" t="n">
        <v>120</v>
      </c>
      <c r="D23" s="14" t="n">
        <v>150</v>
      </c>
      <c r="E23" s="14" t="n">
        <v>205</v>
      </c>
      <c r="F23" s="14" t="n">
        <v>230</v>
      </c>
      <c r="G23" s="14" t="n">
        <v>260</v>
      </c>
      <c r="H23" s="19" t="n"/>
      <c r="I23" s="19" t="n"/>
      <c r="J23" s="19" t="n"/>
      <c r="K23" s="19" t="n"/>
      <c r="L23" s="19" t="n"/>
    </row>
    <row r="24">
      <c r="A24" s="16" t="inlineStr">
        <is>
          <t>Total segment revenue</t>
        </is>
      </c>
      <c r="B24" s="16" t="inlineStr">
        <is>
          <t>A$m</t>
        </is>
      </c>
      <c r="C24" s="17">
        <f>C13+C16+C19+C22</f>
        <v/>
      </c>
      <c r="D24" s="17">
        <f>D13+D16+D19+D22</f>
        <v/>
      </c>
      <c r="E24" s="17">
        <f>E13+E16+E19+E22</f>
        <v/>
      </c>
      <c r="F24" s="17">
        <f>F13+F16+F19+F22</f>
        <v/>
      </c>
      <c r="G24" s="17">
        <f>G13+G16+G19+G22</f>
        <v/>
      </c>
      <c r="H24" s="23" t="n"/>
      <c r="I24" s="23" t="n"/>
      <c r="J24" s="23" t="n"/>
      <c r="K24" s="23" t="n"/>
      <c r="L24" s="23" t="n"/>
    </row>
    <row r="25">
      <c r="A25" s="16" t="inlineStr">
        <is>
          <t>Total segment EBITDA</t>
        </is>
      </c>
      <c r="B25" s="16" t="inlineStr">
        <is>
          <t>A$m</t>
        </is>
      </c>
      <c r="C25" s="17">
        <f>C14+C17+C20+C23</f>
        <v/>
      </c>
      <c r="D25" s="17">
        <f>D14+D17+D20+D23</f>
        <v/>
      </c>
      <c r="E25" s="17">
        <f>E14+E17+E20+E23</f>
        <v/>
      </c>
      <c r="F25" s="17">
        <f>F14+F17+F20+F23</f>
        <v/>
      </c>
      <c r="G25" s="17">
        <f>G14+G17+G20+G23</f>
        <v/>
      </c>
      <c r="H25" s="23" t="n"/>
      <c r="I25" s="23" t="n"/>
      <c r="J25" s="23" t="n"/>
      <c r="K25" s="23" t="n"/>
      <c r="L25" s="23" t="n"/>
    </row>
    <row r="26">
      <c r="A26" s="16" t="inlineStr">
        <is>
          <t>Reconciliation to IS EBITDA</t>
        </is>
      </c>
      <c r="B26" s="16" t="inlineStr">
        <is>
          <t>A$m</t>
        </is>
      </c>
      <c r="C26" s="17">
        <f>'Income Statement'!C16</f>
        <v/>
      </c>
      <c r="D26" s="17">
        <f>'Income Statement'!D16</f>
        <v/>
      </c>
      <c r="E26" s="17">
        <f>'Income Statement'!E16</f>
        <v/>
      </c>
      <c r="F26" s="17">
        <f>'Income Statement'!F16</f>
        <v/>
      </c>
      <c r="G26" s="17">
        <f>'Income Statement'!G16</f>
        <v/>
      </c>
      <c r="H26" s="23" t="n"/>
      <c r="I26" s="23" t="n"/>
      <c r="J26" s="23" t="n"/>
      <c r="K26" s="23" t="n"/>
      <c r="L26" s="23" t="n"/>
    </row>
    <row r="27">
      <c r="A27" t="inlineStr"/>
      <c r="H27" s="19" t="n"/>
      <c r="I27" s="19" t="n"/>
      <c r="J27" s="19" t="n"/>
      <c r="K27" s="19" t="n"/>
      <c r="L27" s="19" t="n"/>
    </row>
    <row r="28">
      <c r="A28" s="3" t="inlineStr">
        <is>
          <t>INTANGIBLE ASSETS (CONCESSION RIGHTS)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t="inlineStr">
        <is>
          <t>Opening balance</t>
        </is>
      </c>
      <c r="B29" t="inlineStr">
        <is>
          <t>A$m</t>
        </is>
      </c>
      <c r="C29" s="14" t="n">
        <v>22100</v>
      </c>
      <c r="D29" s="14">
        <f>C32</f>
        <v/>
      </c>
      <c r="E29" s="14">
        <f>D32</f>
        <v/>
      </c>
      <c r="F29" s="14">
        <f>E32</f>
        <v/>
      </c>
      <c r="G29" s="14">
        <f>F32</f>
        <v/>
      </c>
      <c r="H29" s="15">
        <f>G32</f>
        <v/>
      </c>
      <c r="I29" s="15">
        <f>H32</f>
        <v/>
      </c>
      <c r="J29" s="15">
        <f>I32</f>
        <v/>
      </c>
      <c r="K29" s="15">
        <f>J32</f>
        <v/>
      </c>
      <c r="L29" s="15">
        <f>K32</f>
        <v/>
      </c>
    </row>
    <row r="30">
      <c r="A30" t="inlineStr">
        <is>
          <t>Additions (capitalised construction)</t>
        </is>
      </c>
      <c r="B30" t="inlineStr">
        <is>
          <t>A$m</t>
        </is>
      </c>
      <c r="C30" s="14" t="n">
        <v>530</v>
      </c>
      <c r="D30" s="14" t="n">
        <v>680</v>
      </c>
      <c r="E30" s="14" t="n">
        <v>1150</v>
      </c>
      <c r="F30" s="14" t="n">
        <v>880</v>
      </c>
      <c r="G30" s="14" t="n">
        <v>720</v>
      </c>
      <c r="H30" s="15">
        <f>H7</f>
        <v/>
      </c>
      <c r="I30" s="15">
        <f>I7</f>
        <v/>
      </c>
      <c r="J30" s="15">
        <f>J7</f>
        <v/>
      </c>
      <c r="K30" s="15">
        <f>K7</f>
        <v/>
      </c>
      <c r="L30" s="15">
        <f>L7</f>
        <v/>
      </c>
    </row>
    <row r="31">
      <c r="A31" t="inlineStr">
        <is>
          <t>Amortisation charge</t>
        </is>
      </c>
      <c r="B31" t="inlineStr">
        <is>
          <t>A$m</t>
        </is>
      </c>
      <c r="C31" s="14">
        <f>'Income Statement'!C17*Assumptions!C31</f>
        <v/>
      </c>
      <c r="D31" s="14">
        <f>'Income Statement'!D17*Assumptions!D31</f>
        <v/>
      </c>
      <c r="E31" s="14">
        <f>'Income Statement'!E17*Assumptions!E31</f>
        <v/>
      </c>
      <c r="F31" s="14">
        <f>'Income Statement'!F17*Assumptions!F31</f>
        <v/>
      </c>
      <c r="G31" s="14">
        <f>'Income Statement'!G17*Assumptions!G31</f>
        <v/>
      </c>
      <c r="H31" s="15">
        <f>'Income Statement'!H17*Assumptions!H31</f>
        <v/>
      </c>
      <c r="I31" s="15">
        <f>'Income Statement'!I17*Assumptions!I31</f>
        <v/>
      </c>
      <c r="J31" s="15">
        <f>'Income Statement'!J17*Assumptions!J31</f>
        <v/>
      </c>
      <c r="K31" s="15">
        <f>'Income Statement'!K17*Assumptions!K31</f>
        <v/>
      </c>
      <c r="L31" s="15">
        <f>'Income Statement'!L17*Assumptions!L31</f>
        <v/>
      </c>
    </row>
    <row r="32">
      <c r="A32" s="16" t="inlineStr">
        <is>
          <t>Closing balance</t>
        </is>
      </c>
      <c r="B32" s="16" t="inlineStr">
        <is>
          <t>A$m</t>
        </is>
      </c>
      <c r="C32" s="17">
        <f>C29+C30+C31</f>
        <v/>
      </c>
      <c r="D32" s="17">
        <f>D29+D30+D31</f>
        <v/>
      </c>
      <c r="E32" s="17">
        <f>E29+E30+E31</f>
        <v/>
      </c>
      <c r="F32" s="17">
        <f>F29+F30+F31</f>
        <v/>
      </c>
      <c r="G32" s="17">
        <f>G29+G30+G31</f>
        <v/>
      </c>
      <c r="H32" s="18">
        <f>H29+H30+H31</f>
        <v/>
      </c>
      <c r="I32" s="18">
        <f>I29+I30+I31</f>
        <v/>
      </c>
      <c r="J32" s="18">
        <f>J29+J30+J31</f>
        <v/>
      </c>
      <c r="K32" s="18">
        <f>K29+K30+K31</f>
        <v/>
      </c>
      <c r="L32" s="18">
        <f>L29+L30+L31</f>
        <v/>
      </c>
    </row>
    <row r="33">
      <c r="A33" s="20" t="inlineStr">
        <is>
          <t>Cross-check to BS</t>
        </is>
      </c>
      <c r="B33" s="20" t="inlineStr">
        <is>
          <t>A$m</t>
        </is>
      </c>
      <c r="C33" s="21">
        <f>'Balance Sheet'!C14</f>
        <v/>
      </c>
      <c r="D33" s="21">
        <f>'Balance Sheet'!D14</f>
        <v/>
      </c>
      <c r="E33" s="21">
        <f>'Balance Sheet'!E14</f>
        <v/>
      </c>
      <c r="F33" s="21">
        <f>'Balance Sheet'!F14</f>
        <v/>
      </c>
      <c r="G33" s="21">
        <f>'Balance Sheet'!G14</f>
        <v/>
      </c>
      <c r="H33" s="22">
        <f>'Balance Sheet'!H14</f>
        <v/>
      </c>
      <c r="I33" s="22">
        <f>'Balance Sheet'!I14</f>
        <v/>
      </c>
      <c r="J33" s="22">
        <f>'Balance Sheet'!J14</f>
        <v/>
      </c>
      <c r="K33" s="22">
        <f>'Balance Sheet'!K14</f>
        <v/>
      </c>
      <c r="L33" s="22">
        <f>'Balance Sheet'!L14</f>
        <v/>
      </c>
    </row>
    <row r="34">
      <c r="A34" t="inlineStr"/>
      <c r="H34" s="19" t="n"/>
      <c r="I34" s="19" t="n"/>
      <c r="J34" s="19" t="n"/>
      <c r="K34" s="19" t="n"/>
      <c r="L34" s="19" t="n"/>
    </row>
    <row r="35">
      <c r="A35" s="3" t="inlineStr">
        <is>
          <t>BORROWINGS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t="inlineStr">
        <is>
          <t>Current borrowings</t>
        </is>
      </c>
      <c r="B36" t="inlineStr">
        <is>
          <t>A$m</t>
        </is>
      </c>
      <c r="C36" s="14">
        <f>'Balance Sheet'!C24</f>
        <v/>
      </c>
      <c r="D36" s="14">
        <f>'Balance Sheet'!D24</f>
        <v/>
      </c>
      <c r="E36" s="14">
        <f>'Balance Sheet'!E24</f>
        <v/>
      </c>
      <c r="F36" s="14">
        <f>'Balance Sheet'!F24</f>
        <v/>
      </c>
      <c r="G36" s="14">
        <f>'Balance Sheet'!G24</f>
        <v/>
      </c>
      <c r="H36" s="15">
        <f>'Balance Sheet'!H24</f>
        <v/>
      </c>
      <c r="I36" s="15">
        <f>'Balance Sheet'!I24</f>
        <v/>
      </c>
      <c r="J36" s="15">
        <f>'Balance Sheet'!J24</f>
        <v/>
      </c>
      <c r="K36" s="15">
        <f>'Balance Sheet'!K24</f>
        <v/>
      </c>
      <c r="L36" s="15">
        <f>'Balance Sheet'!L24</f>
        <v/>
      </c>
    </row>
    <row r="37">
      <c r="A37" t="inlineStr">
        <is>
          <t>Non-current borrowings</t>
        </is>
      </c>
      <c r="B37" t="inlineStr">
        <is>
          <t>A$m</t>
        </is>
      </c>
      <c r="C37" s="14">
        <f>'Balance Sheet'!C29</f>
        <v/>
      </c>
      <c r="D37" s="14">
        <f>'Balance Sheet'!D29</f>
        <v/>
      </c>
      <c r="E37" s="14">
        <f>'Balance Sheet'!E29</f>
        <v/>
      </c>
      <c r="F37" s="14">
        <f>'Balance Sheet'!F29</f>
        <v/>
      </c>
      <c r="G37" s="14">
        <f>'Balance Sheet'!G29</f>
        <v/>
      </c>
      <c r="H37" s="15">
        <f>'Balance Sheet'!H29</f>
        <v/>
      </c>
      <c r="I37" s="15">
        <f>'Balance Sheet'!I29</f>
        <v/>
      </c>
      <c r="J37" s="15">
        <f>'Balance Sheet'!J29</f>
        <v/>
      </c>
      <c r="K37" s="15">
        <f>'Balance Sheet'!K29</f>
        <v/>
      </c>
      <c r="L37" s="15">
        <f>'Balance Sheet'!L29</f>
        <v/>
      </c>
    </row>
    <row r="38">
      <c r="A38" s="16" t="inlineStr">
        <is>
          <t>Total borrowings</t>
        </is>
      </c>
      <c r="B38" s="16" t="inlineStr">
        <is>
          <t>A$m</t>
        </is>
      </c>
      <c r="C38" s="17">
        <f>'Balance Sheet'!C32</f>
        <v/>
      </c>
      <c r="D38" s="17">
        <f>'Balance Sheet'!D32</f>
        <v/>
      </c>
      <c r="E38" s="17">
        <f>'Balance Sheet'!E32</f>
        <v/>
      </c>
      <c r="F38" s="17">
        <f>'Balance Sheet'!F32</f>
        <v/>
      </c>
      <c r="G38" s="17">
        <f>'Balance Sheet'!G32</f>
        <v/>
      </c>
      <c r="H38" s="18">
        <f>'Balance Sheet'!H32</f>
        <v/>
      </c>
      <c r="I38" s="18">
        <f>'Balance Sheet'!I32</f>
        <v/>
      </c>
      <c r="J38" s="18">
        <f>'Balance Sheet'!J32</f>
        <v/>
      </c>
      <c r="K38" s="18">
        <f>'Balance Sheet'!K32</f>
        <v/>
      </c>
      <c r="L38" s="18">
        <f>'Balance Sheet'!L32</f>
        <v/>
      </c>
    </row>
    <row r="39">
      <c r="A39" t="inlineStr"/>
      <c r="H39" s="19" t="n"/>
      <c r="I39" s="19" t="n"/>
      <c r="J39" s="19" t="n"/>
      <c r="K39" s="19" t="n"/>
      <c r="L39" s="19" t="n"/>
    </row>
    <row r="40">
      <c r="A40" t="inlineStr">
        <is>
          <t>Maturity Profile</t>
        </is>
      </c>
      <c r="H40" s="19" t="n"/>
      <c r="I40" s="19" t="n"/>
      <c r="J40" s="19" t="n"/>
      <c r="K40" s="19" t="n"/>
      <c r="L40" s="19" t="n"/>
    </row>
    <row r="41">
      <c r="A41" t="inlineStr">
        <is>
          <t xml:space="preserve">  Within 1 year</t>
        </is>
      </c>
      <c r="B41" t="inlineStr">
        <is>
          <t>A$m</t>
        </is>
      </c>
      <c r="C41" s="14">
        <f>C36</f>
        <v/>
      </c>
      <c r="D41" s="14">
        <f>D36</f>
        <v/>
      </c>
      <c r="E41" s="14">
        <f>E36</f>
        <v/>
      </c>
      <c r="F41" s="14">
        <f>F36</f>
        <v/>
      </c>
      <c r="G41" s="14">
        <f>G36</f>
        <v/>
      </c>
      <c r="H41" s="15">
        <f>H36</f>
        <v/>
      </c>
      <c r="I41" s="15">
        <f>I36</f>
        <v/>
      </c>
      <c r="J41" s="15">
        <f>J36</f>
        <v/>
      </c>
      <c r="K41" s="15">
        <f>K36</f>
        <v/>
      </c>
      <c r="L41" s="15">
        <f>L36</f>
        <v/>
      </c>
    </row>
    <row r="42">
      <c r="A42" t="inlineStr">
        <is>
          <t xml:space="preserve">  1-2 years</t>
        </is>
      </c>
      <c r="B42" t="inlineStr">
        <is>
          <t>A$m</t>
        </is>
      </c>
      <c r="C42" s="14" t="n">
        <v>1100</v>
      </c>
      <c r="D42" s="14" t="n">
        <v>1250</v>
      </c>
      <c r="E42" s="14" t="n">
        <v>1400</v>
      </c>
      <c r="F42" s="14" t="n">
        <v>1150</v>
      </c>
      <c r="G42" s="14" t="n">
        <v>1050</v>
      </c>
      <c r="H42" s="15">
        <f>H38*Assumptions!H61</f>
        <v/>
      </c>
      <c r="I42" s="15">
        <f>I38*Assumptions!I61</f>
        <v/>
      </c>
      <c r="J42" s="15">
        <f>J38*Assumptions!J61</f>
        <v/>
      </c>
      <c r="K42" s="15">
        <f>K38*Assumptions!K61</f>
        <v/>
      </c>
      <c r="L42" s="15">
        <f>L38*Assumptions!L61</f>
        <v/>
      </c>
    </row>
    <row r="43">
      <c r="A43" t="inlineStr">
        <is>
          <t xml:space="preserve">  2-5 years</t>
        </is>
      </c>
      <c r="B43" t="inlineStr">
        <is>
          <t>A$m</t>
        </is>
      </c>
      <c r="C43" s="14" t="n">
        <v>5200</v>
      </c>
      <c r="D43" s="14" t="n">
        <v>5650</v>
      </c>
      <c r="E43" s="14" t="n">
        <v>6300</v>
      </c>
      <c r="F43" s="14" t="n">
        <v>6400</v>
      </c>
      <c r="G43" s="14" t="n">
        <v>6500</v>
      </c>
      <c r="H43" s="15">
        <f>H38*Assumptions!H62</f>
        <v/>
      </c>
      <c r="I43" s="15">
        <f>I38*Assumptions!I62</f>
        <v/>
      </c>
      <c r="J43" s="15">
        <f>J38*Assumptions!J62</f>
        <v/>
      </c>
      <c r="K43" s="15">
        <f>K38*Assumptions!K62</f>
        <v/>
      </c>
      <c r="L43" s="15">
        <f>L38*Assumptions!L62</f>
        <v/>
      </c>
    </row>
    <row r="44">
      <c r="A44" t="inlineStr">
        <is>
          <t xml:space="preserve">  Over 5 years</t>
        </is>
      </c>
      <c r="B44" t="inlineStr">
        <is>
          <t>A$m</t>
        </is>
      </c>
      <c r="C44" s="14">
        <f>C38-C41-C42-C43</f>
        <v/>
      </c>
      <c r="D44" s="14">
        <f>D38-D41-D42-D43</f>
        <v/>
      </c>
      <c r="E44" s="14">
        <f>E38-E41-E42-E43</f>
        <v/>
      </c>
      <c r="F44" s="14">
        <f>F38-F41-F42-F43</f>
        <v/>
      </c>
      <c r="G44" s="14">
        <f>G38-G41-G42-G43</f>
        <v/>
      </c>
      <c r="H44" s="15">
        <f>H38-H41-H42-H43</f>
        <v/>
      </c>
      <c r="I44" s="15">
        <f>I38-I41-I42-I43</f>
        <v/>
      </c>
      <c r="J44" s="15">
        <f>J38-J41-J42-J43</f>
        <v/>
      </c>
      <c r="K44" s="15">
        <f>K38-K41-K42-K43</f>
        <v/>
      </c>
      <c r="L44" s="15">
        <f>L38-L41-L42-L43</f>
        <v/>
      </c>
    </row>
    <row r="45">
      <c r="A45" s="20" t="inlineStr">
        <is>
          <t xml:space="preserve">  Total (maturity check)</t>
        </is>
      </c>
      <c r="B45" s="20" t="inlineStr">
        <is>
          <t>A$m</t>
        </is>
      </c>
      <c r="C45" s="21">
        <f>C41+C42+C43+C44</f>
        <v/>
      </c>
      <c r="D45" s="21">
        <f>D41+D42+D43+D44</f>
        <v/>
      </c>
      <c r="E45" s="21">
        <f>E41+E42+E43+E44</f>
        <v/>
      </c>
      <c r="F45" s="21">
        <f>F41+F42+F43+F44</f>
        <v/>
      </c>
      <c r="G45" s="21">
        <f>G41+G42+G43+G44</f>
        <v/>
      </c>
      <c r="H45" s="22">
        <f>H41+H42+H43+H44</f>
        <v/>
      </c>
      <c r="I45" s="22">
        <f>I41+I42+I43+I44</f>
        <v/>
      </c>
      <c r="J45" s="22">
        <f>J41+J42+J43+J44</f>
        <v/>
      </c>
      <c r="K45" s="22">
        <f>K41+K42+K43+K44</f>
        <v/>
      </c>
      <c r="L45" s="22">
        <f>L41+L42+L43+L44</f>
        <v/>
      </c>
    </row>
    <row r="46">
      <c r="A46" t="inlineStr"/>
      <c r="H46" s="19" t="n"/>
      <c r="I46" s="19" t="n"/>
      <c r="J46" s="19" t="n"/>
      <c r="K46" s="19" t="n"/>
      <c r="L46" s="19" t="n"/>
    </row>
    <row r="47">
      <c r="A47" t="inlineStr">
        <is>
          <t>Borrowing Costs</t>
        </is>
      </c>
      <c r="H47" s="19" t="n"/>
      <c r="I47" s="19" t="n"/>
      <c r="J47" s="19" t="n"/>
      <c r="K47" s="19" t="n"/>
      <c r="L47" s="19" t="n"/>
    </row>
    <row r="48">
      <c r="A48" t="inlineStr">
        <is>
          <t xml:space="preserve">  Interest expense</t>
        </is>
      </c>
      <c r="B48" t="inlineStr">
        <is>
          <t>A$m</t>
        </is>
      </c>
      <c r="C48" s="14">
        <f>-'Income Statement'!C20</f>
        <v/>
      </c>
      <c r="D48" s="14">
        <f>-'Income Statement'!D20</f>
        <v/>
      </c>
      <c r="E48" s="14">
        <f>-'Income Statement'!E20</f>
        <v/>
      </c>
      <c r="F48" s="14">
        <f>-'Income Statement'!F20</f>
        <v/>
      </c>
      <c r="G48" s="14">
        <f>-'Income Statement'!G20</f>
        <v/>
      </c>
      <c r="H48" s="15">
        <f>-'Income Statement'!H20</f>
        <v/>
      </c>
      <c r="I48" s="15">
        <f>-'Income Statement'!I20</f>
        <v/>
      </c>
      <c r="J48" s="15">
        <f>-'Income Statement'!J20</f>
        <v/>
      </c>
      <c r="K48" s="15">
        <f>-'Income Statement'!K20</f>
        <v/>
      </c>
      <c r="L48" s="15">
        <f>-'Income Statement'!L20</f>
        <v/>
      </c>
    </row>
    <row r="49">
      <c r="A49" t="inlineStr">
        <is>
          <t xml:space="preserve">  Capitalised borrowing costs</t>
        </is>
      </c>
      <c r="B49" t="inlineStr">
        <is>
          <t>A$m</t>
        </is>
      </c>
      <c r="C49" s="14" t="n">
        <v>45</v>
      </c>
      <c r="D49" s="14" t="n">
        <v>78</v>
      </c>
      <c r="E49" s="14" t="n">
        <v>125</v>
      </c>
      <c r="F49" s="14" t="n">
        <v>95</v>
      </c>
      <c r="G49" s="14" t="n">
        <v>80</v>
      </c>
      <c r="H49" s="15">
        <f>Assumptions!H43*Assumptions!H35*Assumptions!H63</f>
        <v/>
      </c>
      <c r="I49" s="15">
        <f>Assumptions!I43*Assumptions!I35*Assumptions!I63</f>
        <v/>
      </c>
      <c r="J49" s="15">
        <f>Assumptions!J43*Assumptions!J35*Assumptions!J63</f>
        <v/>
      </c>
      <c r="K49" s="15">
        <f>Assumptions!K43*Assumptions!K35*Assumptions!K63</f>
        <v/>
      </c>
      <c r="L49" s="15">
        <f>Assumptions!L43*Assumptions!L35*Assumptions!L63</f>
        <v/>
      </c>
    </row>
    <row r="50">
      <c r="A50" t="inlineStr">
        <is>
          <t xml:space="preserve">  Effective interest rate</t>
        </is>
      </c>
      <c r="B50" t="inlineStr">
        <is>
          <t>%</t>
        </is>
      </c>
      <c r="C50" s="24">
        <f>Assumptions!C35</f>
        <v/>
      </c>
      <c r="D50" s="24">
        <f>Assumptions!D35</f>
        <v/>
      </c>
      <c r="E50" s="24">
        <f>Assumptions!E35</f>
        <v/>
      </c>
      <c r="F50" s="24">
        <f>Assumptions!F35</f>
        <v/>
      </c>
      <c r="G50" s="24">
        <f>Assumptions!G35</f>
        <v/>
      </c>
      <c r="H50" s="25">
        <f>Assumptions!H35</f>
        <v/>
      </c>
      <c r="I50" s="25">
        <f>Assumptions!I35</f>
        <v/>
      </c>
      <c r="J50" s="25">
        <f>Assumptions!J35</f>
        <v/>
      </c>
      <c r="K50" s="25">
        <f>Assumptions!K35</f>
        <v/>
      </c>
      <c r="L50" s="25">
        <f>Assumptions!L35</f>
        <v/>
      </c>
    </row>
    <row r="51">
      <c r="A51" t="inlineStr"/>
      <c r="H51" s="19" t="n"/>
      <c r="I51" s="19" t="n"/>
      <c r="J51" s="19" t="n"/>
      <c r="K51" s="19" t="n"/>
      <c r="L51" s="19" t="n"/>
    </row>
    <row r="52">
      <c r="A52" s="3" t="inlineStr">
        <is>
          <t>INCOME TAX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t="inlineStr">
        <is>
          <t>Profit before tax</t>
        </is>
      </c>
      <c r="B53" t="inlineStr">
        <is>
          <t>A$m</t>
        </is>
      </c>
      <c r="C53" s="14">
        <f>'Income Statement'!C21</f>
        <v/>
      </c>
      <c r="D53" s="14">
        <f>'Income Statement'!D21</f>
        <v/>
      </c>
      <c r="E53" s="14">
        <f>'Income Statement'!E21</f>
        <v/>
      </c>
      <c r="F53" s="14">
        <f>'Income Statement'!F21</f>
        <v/>
      </c>
      <c r="G53" s="14">
        <f>'Income Statement'!G21</f>
        <v/>
      </c>
      <c r="H53" s="15">
        <f>'Income Statement'!H21</f>
        <v/>
      </c>
      <c r="I53" s="15">
        <f>'Income Statement'!I21</f>
        <v/>
      </c>
      <c r="J53" s="15">
        <f>'Income Statement'!J21</f>
        <v/>
      </c>
      <c r="K53" s="15">
        <f>'Income Statement'!K21</f>
        <v/>
      </c>
      <c r="L53" s="15">
        <f>'Income Statement'!L21</f>
        <v/>
      </c>
    </row>
    <row r="54">
      <c r="A54" t="inlineStr">
        <is>
          <t>Tax at statutory rate (30%)</t>
        </is>
      </c>
      <c r="B54" t="inlineStr">
        <is>
          <t>A$m</t>
        </is>
      </c>
      <c r="C54" s="14">
        <f>C53*-Assumptions!C38</f>
        <v/>
      </c>
      <c r="D54" s="14">
        <f>D53*-Assumptions!D38</f>
        <v/>
      </c>
      <c r="E54" s="14">
        <f>E53*-Assumptions!E38</f>
        <v/>
      </c>
      <c r="F54" s="14">
        <f>F53*-Assumptions!F38</f>
        <v/>
      </c>
      <c r="G54" s="14">
        <f>G53*-Assumptions!G38</f>
        <v/>
      </c>
      <c r="H54" s="15">
        <f>H53*-Assumptions!H38</f>
        <v/>
      </c>
      <c r="I54" s="15">
        <f>I53*-Assumptions!I38</f>
        <v/>
      </c>
      <c r="J54" s="15">
        <f>J53*-Assumptions!J38</f>
        <v/>
      </c>
      <c r="K54" s="15">
        <f>K53*-Assumptions!K38</f>
        <v/>
      </c>
      <c r="L54" s="15">
        <f>L53*-Assumptions!L38</f>
        <v/>
      </c>
    </row>
    <row r="55">
      <c r="A55" t="inlineStr">
        <is>
          <t>Tax effect adjustments:</t>
        </is>
      </c>
      <c r="H55" s="19" t="n"/>
      <c r="I55" s="19" t="n"/>
      <c r="J55" s="19" t="n"/>
      <c r="K55" s="19" t="n"/>
      <c r="L55" s="19" t="n"/>
    </row>
    <row r="56">
      <c r="A56" t="inlineStr">
        <is>
          <t xml:space="preserve">  Non-deductible amortisation</t>
        </is>
      </c>
      <c r="B56" t="inlineStr">
        <is>
          <t>A$m</t>
        </is>
      </c>
      <c r="C56" s="14" t="n">
        <v>215</v>
      </c>
      <c r="D56" s="14" t="n">
        <v>210</v>
      </c>
      <c r="E56" s="14" t="n">
        <v>205</v>
      </c>
      <c r="F56" s="14" t="n">
        <v>195</v>
      </c>
      <c r="G56" s="14" t="n">
        <v>190</v>
      </c>
      <c r="H56" s="15">
        <f>Assumptions!H64</f>
        <v/>
      </c>
      <c r="I56" s="15">
        <f>Assumptions!I64</f>
        <v/>
      </c>
      <c r="J56" s="15">
        <f>Assumptions!J64</f>
        <v/>
      </c>
      <c r="K56" s="15">
        <f>Assumptions!K64</f>
        <v/>
      </c>
      <c r="L56" s="15">
        <f>Assumptions!L64</f>
        <v/>
      </c>
    </row>
    <row r="57">
      <c r="A57" t="inlineStr">
        <is>
          <t xml:space="preserve">  Tax concessions &amp; offsets</t>
        </is>
      </c>
      <c r="B57" t="inlineStr">
        <is>
          <t>A$m</t>
        </is>
      </c>
      <c r="C57" s="14" t="n">
        <v>-50</v>
      </c>
      <c r="D57" s="14" t="n">
        <v>-48</v>
      </c>
      <c r="E57" s="14" t="n">
        <v>-45</v>
      </c>
      <c r="F57" s="14" t="n">
        <v>-42</v>
      </c>
      <c r="G57" s="14" t="n">
        <v>-40</v>
      </c>
      <c r="H57" s="15">
        <f>Assumptions!H65</f>
        <v/>
      </c>
      <c r="I57" s="15">
        <f>Assumptions!I65</f>
        <v/>
      </c>
      <c r="J57" s="15">
        <f>Assumptions!J65</f>
        <v/>
      </c>
      <c r="K57" s="15">
        <f>Assumptions!K65</f>
        <v/>
      </c>
      <c r="L57" s="15">
        <f>Assumptions!L65</f>
        <v/>
      </c>
    </row>
    <row r="58">
      <c r="A58" t="inlineStr">
        <is>
          <t xml:space="preserve">  Other permanent differences</t>
        </is>
      </c>
      <c r="B58" t="inlineStr">
        <is>
          <t>A$m</t>
        </is>
      </c>
      <c r="C58" s="14" t="n">
        <v>25</v>
      </c>
      <c r="D58" s="14" t="n">
        <v>20</v>
      </c>
      <c r="E58" s="14" t="n">
        <v>15</v>
      </c>
      <c r="F58" s="14" t="n">
        <v>10</v>
      </c>
      <c r="G58" s="14" t="n">
        <v>8</v>
      </c>
      <c r="H58" s="15">
        <f>Assumptions!H66</f>
        <v/>
      </c>
      <c r="I58" s="15">
        <f>Assumptions!I66</f>
        <v/>
      </c>
      <c r="J58" s="15">
        <f>Assumptions!J66</f>
        <v/>
      </c>
      <c r="K58" s="15">
        <f>Assumptions!K66</f>
        <v/>
      </c>
      <c r="L58" s="15">
        <f>Assumptions!L66</f>
        <v/>
      </c>
    </row>
    <row r="59">
      <c r="A59" s="16" t="inlineStr">
        <is>
          <t>Total tax adjustments</t>
        </is>
      </c>
      <c r="B59" s="16" t="inlineStr">
        <is>
          <t>A$m</t>
        </is>
      </c>
      <c r="C59" s="17">
        <f>C56+C57+C58</f>
        <v/>
      </c>
      <c r="D59" s="17">
        <f>D56+D57+D58</f>
        <v/>
      </c>
      <c r="E59" s="17">
        <f>E56+E57+E58</f>
        <v/>
      </c>
      <c r="F59" s="17">
        <f>F56+F57+F58</f>
        <v/>
      </c>
      <c r="G59" s="17">
        <f>G56+G57+G58</f>
        <v/>
      </c>
      <c r="H59" s="18">
        <f>H56+H57+H58</f>
        <v/>
      </c>
      <c r="I59" s="18">
        <f>I56+I57+I58</f>
        <v/>
      </c>
      <c r="J59" s="18">
        <f>J56+J57+J58</f>
        <v/>
      </c>
      <c r="K59" s="18">
        <f>K56+K57+K58</f>
        <v/>
      </c>
      <c r="L59" s="18">
        <f>L56+L57+L58</f>
        <v/>
      </c>
    </row>
    <row r="60">
      <c r="A60" s="16" t="inlineStr">
        <is>
          <t>Income tax expense</t>
        </is>
      </c>
      <c r="B60" s="16" t="inlineStr">
        <is>
          <t>A$m</t>
        </is>
      </c>
      <c r="C60" s="17">
        <f>'Income Statement'!C22</f>
        <v/>
      </c>
      <c r="D60" s="17">
        <f>'Income Statement'!D22</f>
        <v/>
      </c>
      <c r="E60" s="17">
        <f>'Income Statement'!E22</f>
        <v/>
      </c>
      <c r="F60" s="17">
        <f>'Income Statement'!F22</f>
        <v/>
      </c>
      <c r="G60" s="17">
        <f>'Income Statement'!G22</f>
        <v/>
      </c>
      <c r="H60" s="18">
        <f>'Income Statement'!H22</f>
        <v/>
      </c>
      <c r="I60" s="18">
        <f>'Income Statement'!I22</f>
        <v/>
      </c>
      <c r="J60" s="18">
        <f>'Income Statement'!J22</f>
        <v/>
      </c>
      <c r="K60" s="18">
        <f>'Income Statement'!K22</f>
        <v/>
      </c>
      <c r="L60" s="18">
        <f>'Income Statement'!L22</f>
        <v/>
      </c>
    </row>
    <row r="61">
      <c r="A61" t="inlineStr">
        <is>
          <t>Effective tax rate</t>
        </is>
      </c>
      <c r="B61" t="inlineStr">
        <is>
          <t>%</t>
        </is>
      </c>
      <c r="C61" s="24">
        <f>C60/C53</f>
        <v/>
      </c>
      <c r="D61" s="24">
        <f>D60/D53</f>
        <v/>
      </c>
      <c r="E61" s="24">
        <f>E60/E53</f>
        <v/>
      </c>
      <c r="F61" s="24">
        <f>F60/F53</f>
        <v/>
      </c>
      <c r="G61" s="24">
        <f>G60/G53</f>
        <v/>
      </c>
      <c r="H61" s="25">
        <f>H60/H53</f>
        <v/>
      </c>
      <c r="I61" s="25">
        <f>I60/I53</f>
        <v/>
      </c>
      <c r="J61" s="25">
        <f>J60/J53</f>
        <v/>
      </c>
      <c r="K61" s="25">
        <f>K60/K53</f>
        <v/>
      </c>
      <c r="L61" s="25">
        <f>L60/L53</f>
        <v/>
      </c>
    </row>
    <row r="62">
      <c r="A62" t="inlineStr">
        <is>
          <t>ETR per Assumptions</t>
        </is>
      </c>
      <c r="B62" t="inlineStr">
        <is>
          <t>%</t>
        </is>
      </c>
      <c r="C62" s="24">
        <f>Assumptions!C37</f>
        <v/>
      </c>
      <c r="D62" s="24">
        <f>Assumptions!D37</f>
        <v/>
      </c>
      <c r="E62" s="24">
        <f>Assumptions!E37</f>
        <v/>
      </c>
      <c r="F62" s="24">
        <f>Assumptions!F37</f>
        <v/>
      </c>
      <c r="G62" s="24">
        <f>Assumptions!G37</f>
        <v/>
      </c>
      <c r="H62" s="25">
        <f>Assumptions!H37</f>
        <v/>
      </c>
      <c r="I62" s="25">
        <f>Assumptions!I37</f>
        <v/>
      </c>
      <c r="J62" s="25">
        <f>Assumptions!J37</f>
        <v/>
      </c>
      <c r="K62" s="25">
        <f>Assumptions!K37</f>
        <v/>
      </c>
      <c r="L62" s="25">
        <f>Assumptions!L37</f>
        <v/>
      </c>
    </row>
    <row r="63">
      <c r="A63" t="inlineStr"/>
      <c r="H63" s="19" t="n"/>
      <c r="I63" s="19" t="n"/>
      <c r="J63" s="19" t="n"/>
      <c r="K63" s="19" t="n"/>
      <c r="L63" s="19" t="n"/>
    </row>
    <row r="64">
      <c r="A64" s="3" t="inlineStr">
        <is>
          <t>DIVIDENDS / DISTRIBUTIONS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t="inlineStr">
        <is>
          <t>DPS (cents per security)</t>
        </is>
      </c>
      <c r="B65" t="inlineStr">
        <is>
          <t>A¢</t>
        </is>
      </c>
      <c r="C65" s="26">
        <f>Assumptions!C53</f>
        <v/>
      </c>
      <c r="D65" s="26">
        <f>Assumptions!D53</f>
        <v/>
      </c>
      <c r="E65" s="26">
        <f>Assumptions!E53</f>
        <v/>
      </c>
      <c r="F65" s="26">
        <f>Assumptions!F53</f>
        <v/>
      </c>
      <c r="G65" s="26">
        <f>Assumptions!G53</f>
        <v/>
      </c>
      <c r="H65" s="27">
        <f>Assumptions!H53</f>
        <v/>
      </c>
      <c r="I65" s="27">
        <f>Assumptions!I53</f>
        <v/>
      </c>
      <c r="J65" s="27">
        <f>Assumptions!J53</f>
        <v/>
      </c>
      <c r="K65" s="27">
        <f>Assumptions!K53</f>
        <v/>
      </c>
      <c r="L65" s="27">
        <f>Assumptions!L53</f>
        <v/>
      </c>
    </row>
    <row r="66">
      <c r="A66" t="inlineStr">
        <is>
          <t>Securities on issue (m)</t>
        </is>
      </c>
      <c r="B66" t="inlineStr">
        <is>
          <t>m</t>
        </is>
      </c>
      <c r="C66" s="26">
        <f>Assumptions!C54</f>
        <v/>
      </c>
      <c r="D66" s="26">
        <f>Assumptions!D54</f>
        <v/>
      </c>
      <c r="E66" s="26">
        <f>Assumptions!E54</f>
        <v/>
      </c>
      <c r="F66" s="26">
        <f>Assumptions!F54</f>
        <v/>
      </c>
      <c r="G66" s="26">
        <f>Assumptions!G54</f>
        <v/>
      </c>
      <c r="H66" s="27">
        <f>Assumptions!H54</f>
        <v/>
      </c>
      <c r="I66" s="27">
        <f>Assumptions!I54</f>
        <v/>
      </c>
      <c r="J66" s="27">
        <f>Assumptions!J54</f>
        <v/>
      </c>
      <c r="K66" s="27">
        <f>Assumptions!K54</f>
        <v/>
      </c>
      <c r="L66" s="27">
        <f>Assumptions!L54</f>
        <v/>
      </c>
    </row>
    <row r="67">
      <c r="A67" t="inlineStr">
        <is>
          <t>Total distributions paid</t>
        </is>
      </c>
      <c r="B67" t="inlineStr">
        <is>
          <t>A$m</t>
        </is>
      </c>
      <c r="C67" s="14">
        <f>'Cash Flow Statement'!C19</f>
        <v/>
      </c>
      <c r="D67" s="14">
        <f>'Cash Flow Statement'!D19</f>
        <v/>
      </c>
      <c r="E67" s="14">
        <f>'Cash Flow Statement'!E19</f>
        <v/>
      </c>
      <c r="F67" s="14">
        <f>'Cash Flow Statement'!F19</f>
        <v/>
      </c>
      <c r="G67" s="14">
        <f>'Cash Flow Statement'!G19</f>
        <v/>
      </c>
      <c r="H67" s="15">
        <f>'Cash Flow Statement'!H19</f>
        <v/>
      </c>
      <c r="I67" s="15">
        <f>'Cash Flow Statement'!I19</f>
        <v/>
      </c>
      <c r="J67" s="15">
        <f>'Cash Flow Statement'!J19</f>
        <v/>
      </c>
      <c r="K67" s="15">
        <f>'Cash Flow Statement'!K19</f>
        <v/>
      </c>
      <c r="L67" s="15">
        <f>'Cash Flow Statement'!L19</f>
        <v/>
      </c>
    </row>
    <row r="68">
      <c r="A68" t="inlineStr">
        <is>
          <t>Payout ratio (% of NPAT)</t>
        </is>
      </c>
      <c r="B68" t="inlineStr">
        <is>
          <t>%</t>
        </is>
      </c>
      <c r="C68" s="24">
        <f>-C67/'Income Statement'!C23</f>
        <v/>
      </c>
      <c r="D68" s="24">
        <f>-D67/'Income Statement'!D23</f>
        <v/>
      </c>
      <c r="E68" s="24">
        <f>-E67/'Income Statement'!E23</f>
        <v/>
      </c>
      <c r="F68" s="24">
        <f>-F67/'Income Statement'!F23</f>
        <v/>
      </c>
      <c r="G68" s="24">
        <f>-G67/'Income Statement'!G23</f>
        <v/>
      </c>
      <c r="H68" s="25">
        <f>-H67/'Income Statement'!H23</f>
        <v/>
      </c>
      <c r="I68" s="25">
        <f>-I67/'Income Statement'!I23</f>
        <v/>
      </c>
      <c r="J68" s="25">
        <f>-J67/'Income Statement'!J23</f>
        <v/>
      </c>
      <c r="K68" s="25">
        <f>-K67/'Income Statement'!K23</f>
        <v/>
      </c>
      <c r="L68" s="25">
        <f>-L67/'Income Statement'!L23</f>
        <v/>
      </c>
    </row>
    <row r="69">
      <c r="A69" t="inlineStr">
        <is>
          <t>Franking credits</t>
        </is>
      </c>
      <c r="B69" t="inlineStr">
        <is>
          <t>A$m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</row>
    <row r="70">
      <c r="A70" t="inlineStr"/>
      <c r="H70" s="19" t="n"/>
      <c r="I70" s="19" t="n"/>
      <c r="J70" s="19" t="n"/>
      <c r="K70" s="19" t="n"/>
      <c r="L70" s="19" t="n"/>
    </row>
    <row r="71">
      <c r="A71" s="3" t="inlineStr">
        <is>
          <t>COMMITMENTS &amp; CONTINGENCIES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t="inlineStr">
        <is>
          <t>Capital commitments</t>
        </is>
      </c>
      <c r="B72" t="inlineStr">
        <is>
          <t>A$m</t>
        </is>
      </c>
      <c r="C72" s="14" t="n">
        <v>2800</v>
      </c>
      <c r="D72" s="14" t="n">
        <v>3200</v>
      </c>
      <c r="E72" s="14" t="n">
        <v>2500</v>
      </c>
      <c r="F72" s="14" t="n">
        <v>1800</v>
      </c>
      <c r="G72" s="14" t="n">
        <v>1500</v>
      </c>
      <c r="H72" s="15">
        <f>Assumptions!H43*Assumptions!H67</f>
        <v/>
      </c>
      <c r="I72" s="15">
        <f>Assumptions!I43*Assumptions!I67</f>
        <v/>
      </c>
      <c r="J72" s="15">
        <f>Assumptions!J43*Assumptions!J67</f>
        <v/>
      </c>
      <c r="K72" s="15">
        <f>Assumptions!K43*Assumptions!K67</f>
        <v/>
      </c>
      <c r="L72" s="15">
        <f>Assumptions!L43*Assumptions!L67</f>
        <v/>
      </c>
    </row>
    <row r="73">
      <c r="A73" t="inlineStr">
        <is>
          <t>Operating lease commitments</t>
        </is>
      </c>
      <c r="B73" t="inlineStr">
        <is>
          <t>A$m</t>
        </is>
      </c>
      <c r="C73" s="14" t="n">
        <v>85</v>
      </c>
      <c r="D73" s="14" t="n">
        <v>90</v>
      </c>
      <c r="E73" s="14" t="n">
        <v>95</v>
      </c>
      <c r="F73" s="14" t="n">
        <v>100</v>
      </c>
      <c r="G73" s="14" t="n">
        <v>105</v>
      </c>
      <c r="H73" s="15">
        <f>G73*(1+Assumptions!H68)</f>
        <v/>
      </c>
      <c r="I73" s="15">
        <f>H73*(1+Assumptions!I68)</f>
        <v/>
      </c>
      <c r="J73" s="15">
        <f>I73*(1+Assumptions!J68)</f>
        <v/>
      </c>
      <c r="K73" s="15">
        <f>J73*(1+Assumptions!K68)</f>
        <v/>
      </c>
      <c r="L73" s="15">
        <f>K73*(1+Assumptions!L68)</f>
        <v/>
      </c>
    </row>
    <row r="74">
      <c r="A74" t="inlineStr">
        <is>
          <t>Contingent liabilities</t>
        </is>
      </c>
      <c r="B74" t="inlineStr">
        <is>
          <t>A$m</t>
        </is>
      </c>
      <c r="C74" s="14" t="n">
        <v>150</v>
      </c>
      <c r="D74" s="14" t="n">
        <v>150</v>
      </c>
      <c r="E74" s="14" t="n">
        <v>160</v>
      </c>
      <c r="F74" s="14" t="n">
        <v>160</v>
      </c>
      <c r="G74" s="14" t="n">
        <v>170</v>
      </c>
      <c r="H74" s="15">
        <f>Assumptions!H69</f>
        <v/>
      </c>
      <c r="I74" s="15">
        <f>Assumptions!I69</f>
        <v/>
      </c>
      <c r="J74" s="15">
        <f>Assumptions!J69</f>
        <v/>
      </c>
      <c r="K74" s="15">
        <f>Assumptions!K69</f>
        <v/>
      </c>
      <c r="L74" s="15">
        <f>Assumptions!L69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2026-02-11T23:35:54Z</dcterms:created>
  <dcterms:modified xsi:type="dcterms:W3CDTF">2026-02-11T23:35:54Z</dcterms:modified>
</cp:coreProperties>
</file>